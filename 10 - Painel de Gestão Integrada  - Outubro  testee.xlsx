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jemartins\Desktop\Scripts\Painel de gestão integrada\"/>
    </mc:Choice>
  </mc:AlternateContent>
  <xr:revisionPtr revIDLastSave="0" documentId="8_{F30F9CAD-00F2-4FA3-BF90-C940B76806EC}" xr6:coauthVersionLast="47" xr6:coauthVersionMax="47" xr10:uidLastSave="{00000000-0000-0000-0000-000000000000}"/>
  <bookViews>
    <workbookView xWindow="-120" yWindow="-120" windowWidth="29040" windowHeight="15720" tabRatio="710" xr2:uid="{7BAA0BDB-E00F-4C15-BC0D-C4514B8EEC96}"/>
  </bookViews>
  <sheets>
    <sheet name="GERENCIAL" sheetId="1" r:id="rId1"/>
    <sheet name="MÃO OBRA DIÁRIA" sheetId="3" r:id="rId2"/>
    <sheet name="MO - 02-07" sheetId="14" state="hidden" r:id="rId3"/>
    <sheet name="OPERAÇÃO" sheetId="11" state="hidden" r:id="rId4"/>
    <sheet name="Planilha1" sheetId="13" state="hidden" r:id="rId5"/>
    <sheet name="EMBALAGEM" sheetId="9" state="hidden" r:id="rId6"/>
    <sheet name="OPERAÇÃO ANTIGA" sheetId="8" state="hidden" r:id="rId7"/>
    <sheet name="Operacional (Não USar Ainda)" sheetId="2" state="hidden" r:id="rId8"/>
    <sheet name="PRODUÇÃO" sheetId="6" state="hidden" r:id="rId9"/>
    <sheet name="PRODUÇÃO NOVO" sheetId="10" state="hidden" r:id="rId10"/>
    <sheet name="OPERAÇÃO-SEPARAÇÃO" sheetId="7" state="hidden" r:id="rId11"/>
    <sheet name="MO ÁREA" sheetId="12" state="hidden" r:id="rId12"/>
    <sheet name="OBSERVAÇÕES DIÁRIAS" sheetId="4" r:id="rId13"/>
    <sheet name="NFS PARA PAGAMENTO" sheetId="15" state="hidden" r:id="rId14"/>
  </sheets>
  <externalReferences>
    <externalReference r:id="rId15"/>
    <externalReference r:id="rId16"/>
  </externalReferences>
  <definedNames>
    <definedName name="_xlnm._FilterDatabase" localSheetId="1" hidden="1">'MÃO OBRA DIÁRIA'!$A$2:$AO$55</definedName>
    <definedName name="_xlnm._FilterDatabase" localSheetId="11" hidden="1">'MO ÁREA'!$A$1:$AG$64</definedName>
    <definedName name="_xlnm._FilterDatabase" localSheetId="13" hidden="1">'NFS PARA PAGAMENTO'!$C$4:$N$4</definedName>
    <definedName name="_xlnm._FilterDatabase" localSheetId="8" hidden="1">PRODUÇÃO!$A$5:$AB$5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3" i="3" l="1"/>
  <c r="T55" i="3" s="1"/>
  <c r="P53" i="3"/>
  <c r="P55" i="3" s="1"/>
  <c r="O53" i="3"/>
  <c r="O55" i="3" s="1"/>
  <c r="N53" i="3"/>
  <c r="N55" i="3" s="1"/>
  <c r="M53" i="3"/>
  <c r="M55" i="3" s="1"/>
  <c r="L55" i="3"/>
  <c r="L53" i="3"/>
  <c r="Z13" i="1"/>
  <c r="AM31" i="3"/>
  <c r="AO31" i="3" s="1"/>
  <c r="AM54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3" i="3"/>
  <c r="I53" i="3"/>
  <c r="I55" i="3" l="1"/>
  <c r="Z10" i="1" l="1"/>
  <c r="Z6" i="1"/>
  <c r="C1" i="1" l="1"/>
  <c r="L5" i="1" s="1"/>
  <c r="H53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H55" i="3" l="1"/>
  <c r="AM53" i="3"/>
  <c r="AQ18" i="3" s="1"/>
  <c r="M10" i="14"/>
  <c r="Z17" i="1"/>
  <c r="W40" i="6"/>
  <c r="D39" i="6"/>
  <c r="J37" i="6"/>
  <c r="J40" i="6" s="1"/>
  <c r="D37" i="6"/>
  <c r="D40" i="6" s="1"/>
  <c r="AA16" i="6"/>
  <c r="Z10" i="6"/>
  <c r="I41" i="11"/>
  <c r="D17" i="1"/>
  <c r="L41" i="11"/>
  <c r="Y42" i="11"/>
  <c r="M42" i="11"/>
  <c r="O42" i="11" s="1"/>
  <c r="A1" i="3"/>
  <c r="AA22" i="6"/>
  <c r="A1" i="6"/>
  <c r="A1" i="9"/>
  <c r="B1" i="11"/>
  <c r="G45" i="9"/>
  <c r="G39" i="9"/>
  <c r="G40" i="9"/>
  <c r="G41" i="9" s="1"/>
  <c r="G42" i="9"/>
  <c r="G46" i="9"/>
  <c r="G48" i="9" s="1"/>
  <c r="D66" i="12"/>
  <c r="D67" i="12"/>
  <c r="D68" i="12"/>
  <c r="D57" i="12"/>
  <c r="D56" i="12"/>
  <c r="G47" i="9"/>
  <c r="D69" i="12"/>
  <c r="D59" i="12"/>
  <c r="D58" i="12"/>
  <c r="D61" i="12"/>
  <c r="D60" i="12"/>
  <c r="D63" i="12"/>
  <c r="D62" i="12"/>
  <c r="D64" i="12"/>
  <c r="C64" i="12"/>
  <c r="U37" i="6"/>
  <c r="U39" i="6" s="1"/>
  <c r="U40" i="6" s="1"/>
  <c r="S37" i="6"/>
  <c r="S39" i="6" s="1"/>
  <c r="S40" i="6" s="1"/>
  <c r="M37" i="6"/>
  <c r="M39" i="6" s="1"/>
  <c r="Z13" i="6"/>
  <c r="AO3" i="3"/>
  <c r="AO50" i="3"/>
  <c r="AO52" i="3"/>
  <c r="AO51" i="3"/>
  <c r="Q13" i="9"/>
  <c r="R7" i="9"/>
  <c r="T7" i="9"/>
  <c r="R8" i="9"/>
  <c r="T8" i="9"/>
  <c r="O30" i="8"/>
  <c r="Z30" i="8"/>
  <c r="O29" i="8"/>
  <c r="Z29" i="8"/>
  <c r="O28" i="8"/>
  <c r="O26" i="8"/>
  <c r="O25" i="8"/>
  <c r="O24" i="8"/>
  <c r="Z24" i="8"/>
  <c r="O23" i="8"/>
  <c r="Z23" i="8"/>
  <c r="O22" i="8"/>
  <c r="O21" i="8"/>
  <c r="Z21" i="8"/>
  <c r="O18" i="8"/>
  <c r="Z18" i="8"/>
  <c r="O17" i="8"/>
  <c r="O16" i="8"/>
  <c r="O15" i="8"/>
  <c r="Z15" i="8"/>
  <c r="O14" i="8"/>
  <c r="Z14" i="8"/>
  <c r="O11" i="8"/>
  <c r="Z11" i="8"/>
  <c r="O10" i="8"/>
  <c r="Z10" i="8"/>
  <c r="O9" i="8"/>
  <c r="Z9" i="8"/>
  <c r="O8" i="8"/>
  <c r="Z8" i="8"/>
  <c r="O7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Z7" i="8"/>
  <c r="Z12" i="8"/>
  <c r="Z13" i="8"/>
  <c r="Z16" i="8"/>
  <c r="Z17" i="8"/>
  <c r="Z19" i="8"/>
  <c r="Z20" i="8"/>
  <c r="Z22" i="8"/>
  <c r="Z25" i="8"/>
  <c r="Z26" i="8"/>
  <c r="Z27" i="8"/>
  <c r="Z28" i="8"/>
  <c r="O37" i="8"/>
  <c r="Z37" i="8"/>
  <c r="AA37" i="8"/>
  <c r="AB37" i="8"/>
  <c r="J40" i="8"/>
  <c r="I30" i="8"/>
  <c r="J30" i="8"/>
  <c r="AD30" i="8"/>
  <c r="I29" i="8"/>
  <c r="J29" i="8"/>
  <c r="AD29" i="8"/>
  <c r="P40" i="8"/>
  <c r="AD22" i="8"/>
  <c r="AD23" i="8"/>
  <c r="AD24" i="8"/>
  <c r="AD25" i="8"/>
  <c r="AD26" i="8"/>
  <c r="AB27" i="8"/>
  <c r="AD27" i="8"/>
  <c r="AD28" i="8"/>
  <c r="I25" i="8"/>
  <c r="J25" i="8"/>
  <c r="I24" i="8"/>
  <c r="J24" i="8"/>
  <c r="I22" i="8"/>
  <c r="J22" i="8"/>
  <c r="I28" i="8"/>
  <c r="J28" i="8"/>
  <c r="I27" i="8"/>
  <c r="I26" i="8"/>
  <c r="I23" i="8"/>
  <c r="J23" i="8"/>
  <c r="P37" i="8"/>
  <c r="AA43" i="10"/>
  <c r="Y43" i="10"/>
  <c r="W43" i="10"/>
  <c r="S43" i="10"/>
  <c r="O43" i="10"/>
  <c r="G43" i="10"/>
  <c r="C43" i="10"/>
  <c r="AB42" i="10"/>
  <c r="AB43" i="10"/>
  <c r="T42" i="10"/>
  <c r="T43" i="10"/>
  <c r="T38" i="10"/>
  <c r="P38" i="10"/>
  <c r="H38" i="10"/>
  <c r="D38" i="10"/>
  <c r="T37" i="10"/>
  <c r="P37" i="10"/>
  <c r="L37" i="10"/>
  <c r="H37" i="10"/>
  <c r="AB36" i="10"/>
  <c r="AB38" i="10"/>
  <c r="Z36" i="10"/>
  <c r="X36" i="10"/>
  <c r="X38" i="10"/>
  <c r="T36" i="10"/>
  <c r="L36" i="10"/>
  <c r="AJ24" i="10"/>
  <c r="AI24" i="10"/>
  <c r="AJ23" i="10"/>
  <c r="AJ25" i="10"/>
  <c r="AJ20" i="10"/>
  <c r="AI20" i="10"/>
  <c r="AJ14" i="10"/>
  <c r="AI14" i="10"/>
  <c r="AJ8" i="10"/>
  <c r="AI8" i="10"/>
  <c r="AI23" i="10"/>
  <c r="AI25" i="10"/>
  <c r="AH18" i="8"/>
  <c r="X37" i="8"/>
  <c r="W37" i="8"/>
  <c r="V37" i="8"/>
  <c r="T37" i="8"/>
  <c r="S37" i="8"/>
  <c r="R37" i="8"/>
  <c r="H37" i="8"/>
  <c r="N37" i="8"/>
  <c r="D37" i="8"/>
  <c r="AD21" i="8"/>
  <c r="AD18" i="8"/>
  <c r="AD17" i="8"/>
  <c r="AD16" i="8"/>
  <c r="AD15" i="8"/>
  <c r="AD14" i="8"/>
  <c r="AD11" i="8"/>
  <c r="AD10" i="8"/>
  <c r="AD9" i="8"/>
  <c r="AD8" i="8"/>
  <c r="AD7" i="8"/>
  <c r="I14" i="8"/>
  <c r="J14" i="8"/>
  <c r="I15" i="8"/>
  <c r="J15" i="8"/>
  <c r="I16" i="8"/>
  <c r="J16" i="8"/>
  <c r="I17" i="8"/>
  <c r="J17" i="8"/>
  <c r="I18" i="8"/>
  <c r="J18" i="8"/>
  <c r="Q24" i="7"/>
  <c r="Q25" i="7"/>
  <c r="O24" i="7"/>
  <c r="O25" i="7"/>
  <c r="M23" i="7"/>
  <c r="M24" i="7"/>
  <c r="M25" i="7"/>
  <c r="I24" i="7"/>
  <c r="I25" i="7"/>
  <c r="W23" i="7"/>
  <c r="T23" i="7"/>
  <c r="W22" i="7"/>
  <c r="T22" i="7"/>
  <c r="I22" i="7"/>
  <c r="I23" i="7"/>
  <c r="M22" i="7"/>
  <c r="W20" i="7"/>
  <c r="W19" i="7"/>
  <c r="D37" i="7"/>
  <c r="W21" i="7"/>
  <c r="T21" i="7"/>
  <c r="T18" i="7"/>
  <c r="W18" i="7"/>
  <c r="M21" i="7"/>
  <c r="M18" i="7"/>
  <c r="I21" i="7"/>
  <c r="I18" i="7"/>
  <c r="I8" i="7"/>
  <c r="I9" i="7"/>
  <c r="I10" i="7"/>
  <c r="I11" i="7"/>
  <c r="I14" i="7"/>
  <c r="I15" i="7"/>
  <c r="I16" i="7"/>
  <c r="I17" i="7"/>
  <c r="I7" i="7"/>
  <c r="W8" i="7"/>
  <c r="W9" i="7"/>
  <c r="W10" i="7"/>
  <c r="W11" i="7"/>
  <c r="W14" i="7"/>
  <c r="W15" i="7"/>
  <c r="W16" i="7"/>
  <c r="W17" i="7"/>
  <c r="W7" i="7"/>
  <c r="T8" i="7"/>
  <c r="T9" i="7"/>
  <c r="T10" i="7"/>
  <c r="T11" i="7"/>
  <c r="T12" i="7"/>
  <c r="T13" i="7"/>
  <c r="T14" i="7"/>
  <c r="T15" i="7"/>
  <c r="T16" i="7"/>
  <c r="T17" i="7"/>
  <c r="T7" i="7"/>
  <c r="M9" i="7"/>
  <c r="M10" i="7"/>
  <c r="M11" i="7"/>
  <c r="M14" i="7"/>
  <c r="M15" i="7"/>
  <c r="M16" i="7"/>
  <c r="M17" i="7"/>
  <c r="M8" i="7"/>
  <c r="M7" i="7"/>
  <c r="L37" i="7"/>
  <c r="P37" i="7"/>
  <c r="J37" i="7"/>
  <c r="AB30" i="8"/>
  <c r="AB29" i="8"/>
  <c r="AB22" i="8"/>
  <c r="AB23" i="8"/>
  <c r="AB24" i="8"/>
  <c r="AB25" i="8"/>
  <c r="AB26" i="8"/>
  <c r="AB28" i="8"/>
  <c r="AB21" i="8"/>
  <c r="AB18" i="8"/>
  <c r="AB17" i="8"/>
  <c r="AB16" i="8"/>
  <c r="AB15" i="8"/>
  <c r="AB14" i="8"/>
  <c r="AB11" i="8"/>
  <c r="AB10" i="8"/>
  <c r="AB9" i="8"/>
  <c r="I21" i="8"/>
  <c r="J21" i="8"/>
  <c r="AB8" i="8"/>
  <c r="AB7" i="8"/>
  <c r="I8" i="8"/>
  <c r="J8" i="8"/>
  <c r="I9" i="8"/>
  <c r="J9" i="8"/>
  <c r="I10" i="8"/>
  <c r="J10" i="8"/>
  <c r="I11" i="8"/>
  <c r="J11" i="8"/>
  <c r="W37" i="7"/>
  <c r="T37" i="7"/>
  <c r="H37" i="7"/>
  <c r="M37" i="7"/>
  <c r="AB12" i="7"/>
  <c r="AB16" i="7"/>
  <c r="I7" i="8"/>
  <c r="I37" i="8"/>
  <c r="O23" i="7"/>
  <c r="O22" i="7"/>
  <c r="O14" i="7"/>
  <c r="O11" i="7"/>
  <c r="O10" i="7"/>
  <c r="O21" i="7"/>
  <c r="O9" i="7"/>
  <c r="O18" i="7"/>
  <c r="O8" i="7"/>
  <c r="O17" i="7"/>
  <c r="O7" i="7"/>
  <c r="S7" i="7"/>
  <c r="O16" i="7"/>
  <c r="O15" i="7"/>
  <c r="I37" i="7"/>
  <c r="J7" i="8"/>
  <c r="Q18" i="7"/>
  <c r="S18" i="7"/>
  <c r="S23" i="7"/>
  <c r="U23" i="7"/>
  <c r="Q23" i="7"/>
  <c r="Q16" i="7"/>
  <c r="S16" i="7"/>
  <c r="U16" i="7"/>
  <c r="Q8" i="7"/>
  <c r="S8" i="7"/>
  <c r="U8" i="7"/>
  <c r="Q9" i="7"/>
  <c r="S9" i="7"/>
  <c r="Q15" i="7"/>
  <c r="S15" i="7"/>
  <c r="U15" i="7"/>
  <c r="Q10" i="7"/>
  <c r="S10" i="7"/>
  <c r="Q11" i="7"/>
  <c r="S11" i="7"/>
  <c r="U11" i="7"/>
  <c r="Q14" i="7"/>
  <c r="S14" i="7"/>
  <c r="Q17" i="7"/>
  <c r="S17" i="7"/>
  <c r="Q22" i="7"/>
  <c r="S22" i="7"/>
  <c r="U22" i="7"/>
  <c r="Q21" i="7"/>
  <c r="O37" i="7"/>
  <c r="S21" i="7"/>
  <c r="Q7" i="7"/>
  <c r="U14" i="7"/>
  <c r="U10" i="7"/>
  <c r="U17" i="7"/>
  <c r="U9" i="7"/>
  <c r="U7" i="7"/>
  <c r="U18" i="7"/>
  <c r="U13" i="7"/>
  <c r="U12" i="7"/>
  <c r="P40" i="6"/>
  <c r="S37" i="7"/>
  <c r="U37" i="7"/>
  <c r="Q37" i="7"/>
  <c r="U21" i="7"/>
  <c r="H17" i="1"/>
  <c r="F17" i="1"/>
  <c r="X17" i="1"/>
  <c r="F6" i="4"/>
  <c r="R17" i="1"/>
  <c r="V17" i="1"/>
  <c r="T17" i="1"/>
  <c r="J17" i="1"/>
  <c r="P17" i="1"/>
  <c r="N17" i="1"/>
  <c r="J21" i="1"/>
  <c r="Q5" i="2"/>
  <c r="C21" i="2"/>
  <c r="K17" i="2"/>
  <c r="I17" i="2"/>
  <c r="G17" i="2"/>
  <c r="E17" i="2"/>
  <c r="C17" i="2"/>
  <c r="D21" i="1"/>
  <c r="Z11" i="6" l="1"/>
  <c r="M40" i="6"/>
  <c r="I42" i="11"/>
  <c r="I43" i="11" s="1"/>
  <c r="I44" i="11" s="1"/>
  <c r="Z12" i="6"/>
  <c r="Z18" i="6"/>
  <c r="Z22" i="6" s="1"/>
  <c r="J39" i="6"/>
  <c r="I46" i="11"/>
  <c r="I47" i="11" s="1"/>
  <c r="Z16" i="6" l="1"/>
  <c r="AQ28" i="3"/>
  <c r="Q9" i="2"/>
  <c r="Q17" i="2" s="1"/>
  <c r="AM55" i="3" l="1"/>
  <c r="L9" i="1" l="1"/>
  <c r="L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tc={3180C330-61A5-4289-84BE-A512026E88AE}</author>
    <author>tc={F2C1DC52-DAF4-460C-97AB-BFDFBF852B67}</author>
    <author>Ramos, Sergio (Piracicaba)</author>
    <author>tc={2146CF1B-B290-474D-9BA0-BB6C167042F1}</author>
  </authors>
  <commentList>
    <comment ref="Z3" authorId="0" shapeId="0" xr:uid="{3180C330-61A5-4289-84BE-A512026E88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Nota: Atualizado toda segunda feira )</t>
      </text>
    </comment>
    <comment ref="F5" authorId="1" shapeId="0" xr:uid="{F2C1DC52-DAF4-460C-97AB-BFDFBF852B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EXPORT : R$ 4 Milhôes (Alocado)
Abaixo de R$ 3.000 : R$ 385 Mil
Garantia: R$ 67 Mil
</t>
      </text>
    </comment>
    <comment ref="L6" authorId="2" shapeId="0" xr:uid="{603D6780-47D7-434F-9F75-C78D6E6C214B}">
      <text>
        <r>
          <rPr>
            <b/>
            <sz val="14"/>
            <color indexed="81"/>
            <rFont val="Segoe UI"/>
            <family val="2"/>
          </rPr>
          <t>4 CIEE
1.200 PEÇAS DIA</t>
        </r>
      </text>
    </comment>
    <comment ref="N6" authorId="2" shapeId="0" xr:uid="{57849C7E-9DC3-4756-9799-59E420B639B4}">
      <text>
        <r>
          <rPr>
            <b/>
            <sz val="12"/>
            <color indexed="81"/>
            <rFont val="Arial"/>
            <family val="2"/>
          </rPr>
          <t>PRODUÇÃO SENSOR
2 OPERADOR / 600 PEÇAS DIA</t>
        </r>
      </text>
    </comment>
    <comment ref="P6" authorId="2" shapeId="0" xr:uid="{BBC3B1E1-F327-452E-838F-4EAA006AD891}">
      <text>
        <r>
          <rPr>
            <b/>
            <sz val="12"/>
            <color indexed="81"/>
            <rFont val="Arial"/>
            <family val="2"/>
          </rPr>
          <t>PRODUÇÃO EUI
2 - MÁQUINAS / 1 OPERADOR / 80 PEÇAS
3 - MÁQUINAS / 2 OPERADOR / 120 PEÇAS</t>
        </r>
      </text>
    </comment>
    <comment ref="R6" authorId="2" shapeId="0" xr:uid="{2A84E381-058C-46F0-8DD4-A9F9FA20A4ED}">
      <text>
        <r>
          <rPr>
            <b/>
            <sz val="12"/>
            <color indexed="81"/>
            <rFont val="Segoe UI"/>
            <family val="2"/>
          </rPr>
          <t xml:space="preserve">
FALSO REMAN MBB
01 OPERADOR / 500 PEÇAD DIA
</t>
        </r>
      </text>
    </comment>
    <comment ref="T6" authorId="2" shapeId="0" xr:uid="{F78F678D-56EF-44AE-9E26-07BC57B783F2}">
      <text>
        <r>
          <rPr>
            <b/>
            <sz val="12"/>
            <color indexed="81"/>
            <rFont val="Arial"/>
            <family val="2"/>
          </rPr>
          <t>PRODUÇÃO CR  IAM
01 OPERADOR / 3 MAQUINAS / 36 PEÇAD DIA</t>
        </r>
      </text>
    </comment>
    <comment ref="Z9" authorId="2" shapeId="0" xr:uid="{810AED63-960C-449F-9EE6-2B7DE365614E}">
      <text>
        <r>
          <rPr>
            <b/>
            <sz val="14"/>
            <color indexed="81"/>
            <rFont val="Segoe UI"/>
            <family val="2"/>
          </rPr>
          <t>TOTAL PAGO EM 2026
( R$ MILHÕES )</t>
        </r>
      </text>
    </comment>
    <comment ref="Z13" authorId="2" shapeId="0" xr:uid="{AEBCA920-83C7-40B6-9479-03FCDF453ED5}">
      <text>
        <r>
          <rPr>
            <b/>
            <sz val="14"/>
            <color indexed="81"/>
            <rFont val="Segoe UI"/>
            <family val="2"/>
          </rPr>
          <t xml:space="preserve">
VLR TOTAL RECEBIDO ( MILHÕES R$  ):
01 - ACUMULADO EM 2026</t>
        </r>
        <r>
          <rPr>
            <sz val="14"/>
            <color indexed="81"/>
            <rFont val="Segoe UI"/>
            <family val="2"/>
          </rPr>
          <t xml:space="preserve">
</t>
        </r>
      </text>
    </comment>
    <comment ref="V14" authorId="3" shapeId="0" xr:uid="{2146CF1B-B290-474D-9BA0-BB6C167042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QTD EM NOSSO STK PARA FS INSPECIONAR</t>
      </text>
    </comment>
    <comment ref="Z17" authorId="2" shapeId="0" xr:uid="{7BAEBC67-9D1B-41AD-9369-0C9EF5BA95DD}">
      <text>
        <r>
          <rPr>
            <b/>
            <sz val="9"/>
            <color indexed="81"/>
            <rFont val="Segoe UI"/>
            <family val="2"/>
          </rPr>
          <t>ÍNDICE JÁ  FINALIZADO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Ramos, Sergio (Piracicaba)</author>
  </authors>
  <commentList>
    <comment ref="W6" authorId="0" shapeId="0" xr:uid="{1C07FF80-5933-4803-B15D-EE603D50F5F5}">
      <text>
        <r>
          <rPr>
            <b/>
            <sz val="14"/>
            <color indexed="81"/>
            <rFont val="Arial"/>
            <family val="2"/>
          </rPr>
          <t xml:space="preserve">TEMPO NECESÁRIO PARA FZER A QTDE DE LINHA NO DIA
EXEMPLO
52  LINHAS
CAPACIDE DIÁRIA  POR MO LINHA = 13,97 HORAS
52  / 13,97 - 3,77 HORAS
</t>
        </r>
      </text>
    </comment>
    <comment ref="X6" authorId="0" shapeId="0" xr:uid="{AD5E08C2-19B7-4A61-AF7C-1FBD40EF5D74}">
      <text>
        <r>
          <rPr>
            <b/>
            <sz val="14"/>
            <color indexed="81"/>
            <rFont val="Segoe UI"/>
            <family val="2"/>
          </rPr>
          <t>TEMPO DISPONÍVEL COM A QTDE DE MO NO DIA
EXEMPLO: 
15 MO
TEMPO 8,09
15 X 8,09 = 121,35 HORAS</t>
        </r>
      </text>
    </comment>
    <comment ref="Y6" authorId="0" shapeId="0" xr:uid="{CA03953F-B537-498E-8FD9-33E7C93F5D1A}">
      <text>
        <r>
          <rPr>
            <b/>
            <sz val="14"/>
            <color indexed="81"/>
            <rFont val="Segoe UI"/>
            <family val="2"/>
          </rPr>
          <t xml:space="preserve">
TEMPO SOBRANDO OU FALTADO DE ACORDO COM A QTDE DE LINHA DIÁRIA X QTDE DE MÃO DE OBRA DISPONÍVEL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Ramos, Sergio (Piracicaba)</author>
  </authors>
  <commentList>
    <comment ref="Z6" authorId="0" shapeId="0" xr:uid="{49B43DD6-E8BF-431D-8434-FBACDAAE9342}">
      <text>
        <r>
          <rPr>
            <b/>
            <sz val="14"/>
            <color indexed="81"/>
            <rFont val="Arial"/>
            <family val="2"/>
          </rPr>
          <t xml:space="preserve">TEMPO NECESÁRIO PARA FZER A QTDE DE LINHA NO DIA
EXEMPLO
52  LINHAS
CAPACIDE DIÁRIA  POR MO LINHA = 13,97 HORAS
52  / 13,97 - 3,77 HORAS
</t>
        </r>
      </text>
    </comment>
    <comment ref="AA6" authorId="0" shapeId="0" xr:uid="{277193B3-CDD5-4762-B743-80EC0D6CAC41}">
      <text>
        <r>
          <rPr>
            <b/>
            <sz val="14"/>
            <color indexed="81"/>
            <rFont val="Segoe UI"/>
            <family val="2"/>
          </rPr>
          <t>TEMPO DISPONÍVEL COM A QTDE DE MO NO DIA
EXEMPLO: 
15 MO
TEMPO 8,09
15 X 8,09 = 121,35 HORAS</t>
        </r>
      </text>
    </comment>
    <comment ref="AB6" authorId="0" shapeId="0" xr:uid="{B714E7F7-89CC-4C93-A97E-0B60E3933D93}">
      <text>
        <r>
          <rPr>
            <b/>
            <sz val="14"/>
            <color indexed="81"/>
            <rFont val="Segoe UI"/>
            <family val="2"/>
          </rPr>
          <t xml:space="preserve">
TEMPO SOBRANDO OU FALTADO DE ACORDO COM A QTDE DE LINHA DIÁRIA X QTDE DE MÃO DE OBRA DISPONÍVEL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Ramos, Sergio (Piracicaba)</author>
    <author>tc={07A38441-E079-417A-93F3-6BE6550263CC}</author>
  </authors>
  <commentList>
    <comment ref="D7" authorId="0" shapeId="0" xr:uid="{A9F02A44-8775-4F3A-AA86-4C3C3ADBA33D}">
      <text>
        <r>
          <rPr>
            <b/>
            <sz val="14"/>
            <color indexed="81"/>
            <rFont val="Segoe UI"/>
            <family val="2"/>
          </rPr>
          <t>META 80
PRODUZIDA  = 71
REPROVADA  = 11
TOTAL = 82</t>
        </r>
        <r>
          <rPr>
            <sz val="14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>OEE 
META = 77%
RESULTADO = 84,78</t>
        </r>
        <r>
          <rPr>
            <sz val="14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>JAIR E LUCAS - REMAN
HITALO E FELIPE - OPERAÇÃO</t>
        </r>
      </text>
    </comment>
    <comment ref="AB7" authorId="0" shapeId="0" xr:uid="{E14BFE48-FEB8-4997-9744-65ED528B67F3}">
      <text>
        <r>
          <rPr>
            <b/>
            <sz val="14"/>
            <color indexed="81"/>
            <rFont val="Segoe UI"/>
            <family val="2"/>
          </rPr>
          <t xml:space="preserve">META = 600
PRODUZIDO = 501
REPROVADA = 12
TOTAL = 513
OEE 
META = 77%
RESULTADO = 73%
NOTA: HOJE SETUP DAS MAUINAS NA PARTE DA MANHÃ
</t>
        </r>
      </text>
    </comment>
    <comment ref="D8" authorId="0" shapeId="0" xr:uid="{A4584AD7-83B9-4442-9558-5258F3D994A4}">
      <text>
        <r>
          <rPr>
            <b/>
            <sz val="14"/>
            <color indexed="81"/>
            <rFont val="Segoe UI"/>
            <family val="2"/>
          </rPr>
          <t>META 80
PRODUZIDA  = 71
REPROVADA  = 11
TOTAL = 82
OEE 
META = 77%
RESULTADO = 84,78
JAIR E LUCAS - REMAN
HITALO E FELIPE - OPERAÇÃO</t>
        </r>
      </text>
    </comment>
    <comment ref="D9" authorId="0" shapeId="0" xr:uid="{B136A09C-DB25-474F-8A6D-0A6A5CADCDE4}">
      <text>
        <r>
          <rPr>
            <b/>
            <sz val="14"/>
            <color indexed="81"/>
            <rFont val="Segoe UI"/>
            <family val="2"/>
          </rPr>
          <t xml:space="preserve">META 80
PRODUZIDA  = 77
REPROVADA  = 03
TOTAL = 80
OEE
META = 77%
RESULTADO = 85%
</t>
        </r>
        <r>
          <rPr>
            <sz val="14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>JAIR E LUCAS - REMAN
HITALO E FELIPE - OPERAÇÃO</t>
        </r>
      </text>
    </comment>
    <comment ref="AB9" authorId="0" shapeId="0" xr:uid="{0374713F-DE5C-4F8B-BDD4-952AD7785DE7}">
      <text>
        <r>
          <rPr>
            <b/>
            <sz val="16"/>
            <color indexed="81"/>
            <rFont val="Segoe UI"/>
            <family val="2"/>
          </rPr>
          <t>META = 600</t>
        </r>
        <r>
          <rPr>
            <b/>
            <sz val="14"/>
            <color indexed="81"/>
            <rFont val="Segoe UI"/>
            <family val="2"/>
          </rPr>
          <t xml:space="preserve">
PRODUÇÃO = 599
REPROVADO = 20
TOTAL = 619
OEE 
META = 77%
RESULTADO = 97%
</t>
        </r>
      </text>
    </comment>
    <comment ref="D10" authorId="0" shapeId="0" xr:uid="{8DAB874D-024F-444C-AC3F-02E74C70B387}">
      <text>
        <r>
          <rPr>
            <b/>
            <sz val="14"/>
            <color indexed="81"/>
            <rFont val="Segoe UI"/>
            <family val="2"/>
          </rPr>
          <t>META 80
PRODUZIDA  = 77
REPROVADA  = 04
TOTAL = 81
OEE 
META = 77%
RESULTADO = 84,78
JAIR E LUCAS - REMAN
HITALO E FELIPE - OPERAÇÃO</t>
        </r>
      </text>
    </comment>
    <comment ref="AB13" authorId="0" shapeId="0" xr:uid="{42C53236-1A8E-4EA5-A44D-24D145763E20}">
      <text>
        <r>
          <rPr>
            <b/>
            <sz val="16"/>
            <color indexed="81"/>
            <rFont val="Segoe UI"/>
            <family val="2"/>
          </rPr>
          <t>META = 600</t>
        </r>
        <r>
          <rPr>
            <b/>
            <sz val="14"/>
            <color indexed="81"/>
            <rFont val="Segoe UI"/>
            <family val="2"/>
          </rPr>
          <t xml:space="preserve">
PRODUÇÃO = 600
REPROVADO = 21
TOTAL = 621</t>
        </r>
        <r>
          <rPr>
            <sz val="14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Segoe UI"/>
            <family val="2"/>
          </rPr>
          <t xml:space="preserve">OEE 
META = 77%
RESULTADO = 97%
PROBLEMA NA MÁQUINA
</t>
        </r>
      </text>
    </comment>
    <comment ref="AB14" authorId="0" shapeId="0" xr:uid="{DEACE110-518A-406C-B6F5-73CD7D67CC1F}">
      <text>
        <r>
          <rPr>
            <b/>
            <sz val="14"/>
            <color indexed="81"/>
            <rFont val="Segoe UI"/>
            <family val="2"/>
          </rPr>
          <t xml:space="preserve">META = 600
PRODUÇÃO = 600
REPROVADO = 46
TOTAL = 646
OEE 
META = 77%
RESULTADO = 93%
</t>
        </r>
      </text>
    </comment>
    <comment ref="AB15" authorId="0" shapeId="0" xr:uid="{ACB8EFA5-0FF2-4087-B934-1A08F800AB11}">
      <text>
        <r>
          <rPr>
            <b/>
            <sz val="14"/>
            <color indexed="81"/>
            <rFont val="Segoe UI"/>
            <family val="2"/>
          </rPr>
          <t xml:space="preserve">META = 600
PRODUÇÃO = 599
REPROVADO = 01
TOTAL = 600
OEE 
META = 77%
RESULTADO = 99%
</t>
        </r>
        <r>
          <rPr>
            <sz val="14"/>
            <color indexed="81"/>
            <rFont val="Segoe UI"/>
            <family val="2"/>
          </rPr>
          <t xml:space="preserve">
</t>
        </r>
      </text>
    </comment>
    <comment ref="P16" authorId="0" shapeId="0" xr:uid="{66BC6D3E-3155-4DC0-8CDE-111B60C4F057}">
      <text>
        <r>
          <rPr>
            <b/>
            <sz val="16"/>
            <color indexed="81"/>
            <rFont val="Segoe UI"/>
            <family val="2"/>
          </rPr>
          <t xml:space="preserve">REMAN  - IAM - CR
</t>
        </r>
        <r>
          <rPr>
            <sz val="14"/>
            <color indexed="81"/>
            <rFont val="Segoe UI"/>
            <family val="2"/>
          </rPr>
          <t xml:space="preserve">
</t>
        </r>
        <r>
          <rPr>
            <b/>
            <sz val="14"/>
            <color indexed="81"/>
            <rFont val="Arial"/>
            <family val="2"/>
          </rPr>
          <t>JAIR, FELIPE E LUCAS
LAVAGEM, PRÉ MONTAGEM E TESTE</t>
        </r>
        <r>
          <rPr>
            <b/>
            <sz val="9"/>
            <color indexed="81"/>
            <rFont val="Arial"/>
            <family val="2"/>
          </rPr>
          <t xml:space="preserve">
</t>
        </r>
      </text>
    </comment>
    <comment ref="AI19" authorId="1" shapeId="0" xr:uid="{07A38441-E079-417A-93F3-6BE6550263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02-03 - aguardando volume do Bruno Monferdini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Ramos, Sergio (Piracicaba)</author>
  </authors>
  <commentList>
    <comment ref="P4" authorId="0" shapeId="0" xr:uid="{83387D04-4D8C-4CF2-BEEB-9E5554B4B1B3}">
      <text>
        <r>
          <rPr>
            <b/>
            <sz val="16"/>
            <color indexed="81"/>
            <rFont val="Segoe UI"/>
            <family val="2"/>
          </rPr>
          <t>QTDE QUE TRABALHOU 
NO DIA</t>
        </r>
        <r>
          <rPr>
            <sz val="16"/>
            <color indexed="81"/>
            <rFont val="Segoe UI"/>
            <family val="2"/>
          </rPr>
          <t xml:space="preserve">
</t>
        </r>
      </text>
    </comment>
    <comment ref="Q4" authorId="0" shapeId="0" xr:uid="{6467CE24-A7BA-4D50-9916-A3DD1367EF58}">
      <text>
        <r>
          <rPr>
            <b/>
            <sz val="16"/>
            <color indexed="81"/>
            <rFont val="Segoe UI"/>
            <family val="2"/>
          </rPr>
          <t>QTDE QUE FALTOU  NO DIA</t>
        </r>
      </text>
    </comment>
    <comment ref="X4" authorId="0" shapeId="0" xr:uid="{2567C1FA-824B-4673-84AB-558B073E8219}">
      <text>
        <r>
          <rPr>
            <b/>
            <sz val="16"/>
            <color indexed="81"/>
            <rFont val="Segoe UI"/>
            <family val="2"/>
          </rPr>
          <t>QTDE QUE TRABALHOU 
NO DIA</t>
        </r>
        <r>
          <rPr>
            <sz val="16"/>
            <color indexed="81"/>
            <rFont val="Segoe UI"/>
            <family val="2"/>
          </rPr>
          <t xml:space="preserve">
</t>
        </r>
      </text>
    </comment>
    <comment ref="S7" authorId="0" shapeId="0" xr:uid="{056E8AC5-450B-4C98-8687-EAB7B2E89857}">
      <text>
        <r>
          <rPr>
            <b/>
            <sz val="9"/>
            <color indexed="81"/>
            <rFont val="Segoe UI"/>
            <family val="2"/>
          </rPr>
          <t>QTDE MO NECESSÁRIO = 0,46
TEMPO  = 7,94
TOTAL = 7,94 X 0,46 = 3,67 HORAS</t>
        </r>
      </text>
    </comment>
  </commentList>
</comments>
</file>

<file path=xl/sharedStrings.xml><?xml version="1.0" encoding="utf-8"?>
<sst xmlns="http://schemas.openxmlformats.org/spreadsheetml/2006/main" count="1543" uniqueCount="440">
  <si>
    <t>PAINEL GESTÃO INTEGRADA</t>
  </si>
  <si>
    <t>AREA</t>
  </si>
  <si>
    <t>LINC</t>
  </si>
  <si>
    <t>LOGÍSTICA</t>
  </si>
  <si>
    <t>TRANSPORTE</t>
  </si>
  <si>
    <t>RECEBIMENTO</t>
  </si>
  <si>
    <t>EMBALAGEM</t>
  </si>
  <si>
    <t>MANUFATURA                                               (SENSOR OXIGÊNIO)</t>
  </si>
  <si>
    <t>MANUFATURA                                           (EUI - VOLVO)</t>
  </si>
  <si>
    <t>MANUFATURA                                              (FALSO REMAN MBB)</t>
  </si>
  <si>
    <t>MANUFATURA                                              (CR  -IAM)</t>
  </si>
  <si>
    <t>CABEÇOTE REMAN</t>
  </si>
  <si>
    <t>PESSOAS</t>
  </si>
  <si>
    <t>GARANTIA                                                             ( SEMANAL W40 )</t>
  </si>
  <si>
    <t>ENTRADA PEDIDO                               ( QTD )</t>
  </si>
  <si>
    <t>PEDIDOS A FATURAR (  R $ )</t>
  </si>
  <si>
    <t>ENTREGAS TRANSITO (  R$  )</t>
  </si>
  <si>
    <t>MATERIAL A RECEBER                           (  QTD PÇS  )</t>
  </si>
  <si>
    <t>MATERIAL A EMBALAR (QTDE)</t>
  </si>
  <si>
    <t>PRODUÇÃO  (QTDE)</t>
  </si>
  <si>
    <t>PRODUÇÃO FS                                              ( QTD  )</t>
  </si>
  <si>
    <t>TODAS AS ÁREAS                                 (  QTD  )</t>
  </si>
  <si>
    <t>VLR EM R$ A PAGAR ( M )</t>
  </si>
  <si>
    <t>DIA</t>
  </si>
  <si>
    <t>CAP. / SALDO</t>
  </si>
  <si>
    <t>4,2</t>
  </si>
  <si>
    <t>PEDIDOS FATURADOS ($)</t>
  </si>
  <si>
    <t>ENTREGAS REALIZADAS</t>
  </si>
  <si>
    <t>TOTAL RECEBIDO</t>
  </si>
  <si>
    <t>TT   REC / EMBAL</t>
  </si>
  <si>
    <t>PRODUZIDO</t>
  </si>
  <si>
    <t>QTD ENTREGUE</t>
  </si>
  <si>
    <t>MEDIA PESSOAS</t>
  </si>
  <si>
    <t>VALOR JÁ PAGO 2026</t>
  </si>
  <si>
    <t>MÊS</t>
  </si>
  <si>
    <t>STK PAI</t>
  </si>
  <si>
    <t/>
  </si>
  <si>
    <t>-</t>
  </si>
  <si>
    <t>FCST</t>
  </si>
  <si>
    <t>BBP</t>
  </si>
  <si>
    <t>VLT  TOTAL 2026</t>
  </si>
  <si>
    <t>STK  FILHO</t>
  </si>
  <si>
    <t>%</t>
  </si>
  <si>
    <t>Falta</t>
  </si>
  <si>
    <t>DATA:</t>
  </si>
  <si>
    <t>Dias úteis</t>
  </si>
  <si>
    <t>HORA:</t>
  </si>
  <si>
    <t>Dias restante</t>
  </si>
  <si>
    <t>EMBALATEC</t>
  </si>
  <si>
    <t>05/10/2026 - Férias Isabela Bresciani</t>
  </si>
  <si>
    <t>CONDUPAR</t>
  </si>
  <si>
    <t>IFA2026</t>
  </si>
  <si>
    <t>FERIADO</t>
  </si>
  <si>
    <t>Total Dias</t>
  </si>
  <si>
    <t>Seq</t>
  </si>
  <si>
    <t>Nome</t>
  </si>
  <si>
    <t>REG</t>
  </si>
  <si>
    <t>Local</t>
  </si>
  <si>
    <t>responsável</t>
  </si>
  <si>
    <t>Área</t>
  </si>
  <si>
    <t>Horário</t>
  </si>
  <si>
    <t>Total</t>
  </si>
  <si>
    <t>Adrian Fernandes Felippe</t>
  </si>
  <si>
    <t>Operação</t>
  </si>
  <si>
    <t>Clodoaldo</t>
  </si>
  <si>
    <t>Manufacturing Aftermarket</t>
  </si>
  <si>
    <t>13:46 as 23:00</t>
  </si>
  <si>
    <t>Adriel Marques Rocha</t>
  </si>
  <si>
    <t>Garantia</t>
  </si>
  <si>
    <t>Sérgio</t>
  </si>
  <si>
    <t>Analise de  Garantia</t>
  </si>
  <si>
    <t>André Augusto Ferreira Geraldo</t>
  </si>
  <si>
    <t>Ariel Henrique Goian</t>
  </si>
  <si>
    <t>Manutenção</t>
  </si>
  <si>
    <t>Manutencão</t>
  </si>
  <si>
    <t>8:00 as 17:00</t>
  </si>
  <si>
    <t>Bruno Lima Jardim</t>
  </si>
  <si>
    <t>Claudio Rodrigues Junior</t>
  </si>
  <si>
    <t>Sensor</t>
  </si>
  <si>
    <t>Flavio Bortoletto</t>
  </si>
  <si>
    <t>Produção Sensor</t>
  </si>
  <si>
    <t>7:30 as 16:54</t>
  </si>
  <si>
    <t>Clodoaldo Fernando Moreira</t>
  </si>
  <si>
    <t>Coordenador</t>
  </si>
  <si>
    <t>Ricardo</t>
  </si>
  <si>
    <t>Daniel Rodrigues Ferreira</t>
  </si>
  <si>
    <t>Embalagem</t>
  </si>
  <si>
    <t>Embalagens</t>
  </si>
  <si>
    <t>Dionisio Martins Peralta Junior</t>
  </si>
  <si>
    <t>Edilvana Maestro Fortarell</t>
  </si>
  <si>
    <t>8:30 as 17:30</t>
  </si>
  <si>
    <t>Fabio Henrique Alves Almeida</t>
  </si>
  <si>
    <t>Felipe Pinheiro Franca</t>
  </si>
  <si>
    <t>Reman</t>
  </si>
  <si>
    <t>Produção Reman</t>
  </si>
  <si>
    <t>MO DISPONÍVEL</t>
  </si>
  <si>
    <t>Flavio Biasini Bortoletto</t>
  </si>
  <si>
    <t>Engenharia</t>
  </si>
  <si>
    <t>Engenharia Reman</t>
  </si>
  <si>
    <t>Francisca Samila Batista Dos Santos</t>
  </si>
  <si>
    <t>Guilherme Alexandre Sant Ana</t>
  </si>
  <si>
    <t>Hitalo Oliveira Santos</t>
  </si>
  <si>
    <t>Isabela Gimenes Dos Santos</t>
  </si>
  <si>
    <t>Linc</t>
  </si>
  <si>
    <t>Marcio</t>
  </si>
  <si>
    <t>Customer Service</t>
  </si>
  <si>
    <t>Isabella Goncalves Bresciani</t>
  </si>
  <si>
    <t>Férias</t>
  </si>
  <si>
    <t>MÉDIA MO TRABALHADA</t>
  </si>
  <si>
    <t>Jair Jaires Lima</t>
  </si>
  <si>
    <t>Jefferson Mantovani Martins</t>
  </si>
  <si>
    <t>Jennifer Driele Da Silva</t>
  </si>
  <si>
    <t>8:00 as 17:24</t>
  </si>
  <si>
    <t>Jhonatthas Moura</t>
  </si>
  <si>
    <t>Joao Pedro Messias</t>
  </si>
  <si>
    <t>Joao Pedro Souza Dos Santos</t>
  </si>
  <si>
    <t>MÉDIA MO PEDIDA POR DIA</t>
  </si>
  <si>
    <t>Joao Vitor Oliveira Carvalho Reis</t>
  </si>
  <si>
    <t>Jorge Telmo De Almeida</t>
  </si>
  <si>
    <t>Jose Alan Nogueira Da Silva</t>
  </si>
  <si>
    <t>Kaio do Prado Oliveira</t>
  </si>
  <si>
    <t>Leonardo de Souza</t>
  </si>
  <si>
    <t>Lucas Zangarelli Rocha</t>
  </si>
  <si>
    <t>Luis Roberto Polloni</t>
  </si>
  <si>
    <t>Luiz Gustavo Cunha</t>
  </si>
  <si>
    <t>Maciel Menochelli</t>
  </si>
  <si>
    <t>Marcio Quicine Martins De Moraes</t>
  </si>
  <si>
    <t>Marco Antonio Svazati</t>
  </si>
  <si>
    <t>Mateus Lage Barroso</t>
  </si>
  <si>
    <t>Pedro Henrique Stenico</t>
  </si>
  <si>
    <t>Rafael De Souza Goncalves</t>
  </si>
  <si>
    <t>Transporte</t>
  </si>
  <si>
    <t>Raphael Gustinelli Bicudo</t>
  </si>
  <si>
    <t>Liderança</t>
  </si>
  <si>
    <t>Suporte Operacões</t>
  </si>
  <si>
    <t>Ricardo Sunhiga</t>
  </si>
  <si>
    <t>Gestor</t>
  </si>
  <si>
    <t>Logistica</t>
  </si>
  <si>
    <t>Richard Von Knoblauch</t>
  </si>
  <si>
    <t>Suporte Operacôes</t>
  </si>
  <si>
    <t>Roberto Carlos Zambello</t>
  </si>
  <si>
    <t>Suporte Operacoes</t>
  </si>
  <si>
    <t>Salomao Cipriano Passos</t>
  </si>
  <si>
    <t>Sergio Augusto Ramos</t>
  </si>
  <si>
    <t>Tiago Ranieri Anselmo De Oliveira</t>
  </si>
  <si>
    <t>Vilma Pereira Da Cruz Silva</t>
  </si>
  <si>
    <t>Winster Patric Gomes Dos Santos</t>
  </si>
  <si>
    <t>Recebimento</t>
  </si>
  <si>
    <t>João Vicot Ymanaka - Estagiário</t>
  </si>
  <si>
    <t>Estagiário</t>
  </si>
  <si>
    <t>8:00 as 15:00</t>
  </si>
  <si>
    <t>Marcelo  - CIEE</t>
  </si>
  <si>
    <t>CIEE</t>
  </si>
  <si>
    <t>Mara Antónia Santos Castro - FORMAR</t>
  </si>
  <si>
    <t>Total Disponível dia</t>
  </si>
  <si>
    <t>Total Fixo</t>
  </si>
  <si>
    <t>qtde</t>
  </si>
  <si>
    <t>Rótulos de Linha</t>
  </si>
  <si>
    <t>Soma de qtde</t>
  </si>
  <si>
    <t>Delphi</t>
  </si>
  <si>
    <t>CIEE/Formar</t>
  </si>
  <si>
    <t>Taina Rondoni dos Santos - FORMAR</t>
  </si>
  <si>
    <t>Yasmin  Rafael- CIEE</t>
  </si>
  <si>
    <t>Roberta Tucunduva</t>
  </si>
  <si>
    <t>Total Geral</t>
  </si>
  <si>
    <t>REALIZADO</t>
  </si>
  <si>
    <t>PARCIAL</t>
  </si>
  <si>
    <t>NÃO REALIZADO</t>
  </si>
  <si>
    <t>FALTA PRODUZIR</t>
  </si>
  <si>
    <t>OPERAÇÃO - SEPARAÇÃO DE LINHAS</t>
  </si>
  <si>
    <t>HORÁRIO ATUALIZADO</t>
  </si>
  <si>
    <t>MÃO OBRA</t>
  </si>
  <si>
    <t>FORECAST LINHAS IAM                                                                                                                  ( CLODOALDO )</t>
  </si>
  <si>
    <t>FORECAST LINHAS DIESEL                                                                                                 ( CLODOALDO )</t>
  </si>
  <si>
    <t>FORECAST LINHAS EXPORTAÇÃO                                                              ( CLODOALDO )</t>
  </si>
  <si>
    <t>TEMPO NECESSÁRIO X  MO ( MÉDIA )</t>
  </si>
  <si>
    <t xml:space="preserve">HORÁRIO </t>
  </si>
  <si>
    <t xml:space="preserve">QTDE  POR </t>
  </si>
  <si>
    <t>QTDE META</t>
  </si>
  <si>
    <t>QTDE</t>
  </si>
  <si>
    <t>VALOR</t>
  </si>
  <si>
    <t>VARIÁVEL</t>
  </si>
  <si>
    <t>MO X DISPONIVEL</t>
  </si>
  <si>
    <t>MO TOTAL</t>
  </si>
  <si>
    <t>TEMPO SOBRA/FALTA</t>
  </si>
  <si>
    <t>HORA EXTRA POSSÍVEL</t>
  </si>
  <si>
    <t>DATA</t>
  </si>
  <si>
    <t>TOTAL</t>
  </si>
  <si>
    <t xml:space="preserve">DISPONÍVEL DIA </t>
  </si>
  <si>
    <t>MÃO OBRA DIA</t>
  </si>
  <si>
    <t>FATURADO</t>
  </si>
  <si>
    <t>LINHA</t>
  </si>
  <si>
    <t>CAPACIDADE</t>
  </si>
  <si>
    <t>DIÁRIO</t>
  </si>
  <si>
    <t>VLR FATURADO</t>
  </si>
  <si>
    <t>TEMPO NECESSÁRIO</t>
  </si>
  <si>
    <t>TEMPO DIPONÍVEL</t>
  </si>
  <si>
    <t>PERDA</t>
  </si>
  <si>
    <t>EXTRA</t>
  </si>
  <si>
    <t>Troca Feriado</t>
  </si>
  <si>
    <t>Feriado</t>
  </si>
  <si>
    <t xml:space="preserve">VISÃO ATÉ A DATA DE HOJE </t>
  </si>
  <si>
    <t>Média</t>
  </si>
  <si>
    <t>TOTAL LINHA</t>
  </si>
  <si>
    <t>Cap Diária Linhas</t>
  </si>
  <si>
    <t>Qtde/Linha//MO</t>
  </si>
  <si>
    <t>Qtde MO</t>
  </si>
  <si>
    <t>CAPACIDADE  TOTAL LINHA</t>
  </si>
  <si>
    <t>% CAPACIDADE REALIZADA</t>
  </si>
  <si>
    <t>% OCIOSA</t>
  </si>
  <si>
    <t>MO</t>
  </si>
  <si>
    <t>MÉDIA MO OCIOSA</t>
  </si>
  <si>
    <t>Embalagem - Forecast Mensal x Produção Diária</t>
  </si>
  <si>
    <t>QTDE POR LINHAS</t>
  </si>
  <si>
    <t>Data</t>
  </si>
  <si>
    <t>MO Disponível Fixa ( 4 )</t>
  </si>
  <si>
    <t>Capacidade Linha com MO</t>
  </si>
  <si>
    <t>Inobeg</t>
  </si>
  <si>
    <t>MO Necessária</t>
  </si>
  <si>
    <t>Manual</t>
  </si>
  <si>
    <t>Total Linha Programada</t>
  </si>
  <si>
    <t>Realizado</t>
  </si>
  <si>
    <t>Qtde SKU</t>
  </si>
  <si>
    <t>Observação</t>
  </si>
  <si>
    <t>Qtde/Linha/MO</t>
  </si>
  <si>
    <t>Qtde Linha/Hora</t>
  </si>
  <si>
    <t>Tempo MO Diária</t>
  </si>
  <si>
    <t>Tempo Total</t>
  </si>
  <si>
    <t>Taina Rondoni dos Santos - CIEE</t>
  </si>
  <si>
    <t>Mara Antónia Santos Castro - CIEE</t>
  </si>
  <si>
    <t>Yasmin - CIEE</t>
  </si>
  <si>
    <t>Total Linha</t>
  </si>
  <si>
    <t>Capacidade Total Linha</t>
  </si>
  <si>
    <t>Diferença</t>
  </si>
  <si>
    <t>% Capacidade</t>
  </si>
  <si>
    <t>MO Diposnívbvel</t>
  </si>
  <si>
    <t>Mo Necessária</t>
  </si>
  <si>
    <t>MO Diferença</t>
  </si>
  <si>
    <t>MO % Disponível</t>
  </si>
  <si>
    <t>CAPACIDADE FIXA - PADRÃO</t>
  </si>
  <si>
    <t>CAP DIÁRIA</t>
  </si>
  <si>
    <t>FORECAST LINHAS IAM                                                                                     ( CLODOALDO )</t>
  </si>
  <si>
    <t>FORECAST LINHAS DIESEL                                                  ( CLODOALDO )</t>
  </si>
  <si>
    <t xml:space="preserve">QTDE </t>
  </si>
  <si>
    <t>DISPONÍVEL</t>
  </si>
  <si>
    <t>NECESSÁRIA</t>
  </si>
  <si>
    <t>DEMANDA</t>
  </si>
  <si>
    <t>QTDE GERAL</t>
  </si>
  <si>
    <t>MO DISPONÍVEL  - OPERAÇÃO</t>
  </si>
  <si>
    <t>CAPACIDADE DE LINHA POR DIA</t>
  </si>
  <si>
    <t>CAPACIDADE LINHA POR MO</t>
  </si>
  <si>
    <t>TEMPO MO DISPONÍVEL</t>
  </si>
  <si>
    <t>TEMPO MO  TOTAL</t>
  </si>
  <si>
    <t>LINHA/ MO / HORA</t>
  </si>
  <si>
    <t>Marcos Antonio</t>
  </si>
  <si>
    <t>Atualização Diária</t>
  </si>
  <si>
    <t>11:00 horas</t>
  </si>
  <si>
    <t>15:00 horas</t>
  </si>
  <si>
    <t>11:00 HORAS</t>
  </si>
  <si>
    <t>COLUNA F</t>
  </si>
  <si>
    <t>15:00 HORAS</t>
  </si>
  <si>
    <t xml:space="preserve"> </t>
  </si>
  <si>
    <t>LOG</t>
  </si>
  <si>
    <t xml:space="preserve">LOG </t>
  </si>
  <si>
    <t>MANUF.(O2)</t>
  </si>
  <si>
    <t>REMANUF.</t>
  </si>
  <si>
    <t>ENTRADA PEDIDO</t>
  </si>
  <si>
    <t>PEDIDOS A FATURAR ($)</t>
  </si>
  <si>
    <t>ENTREGAS TRANSITO</t>
  </si>
  <si>
    <t>MATERIAL A RECEBER (QTD)</t>
  </si>
  <si>
    <t>MATERIAL A EMBALAR (QTD)</t>
  </si>
  <si>
    <t>QTD A PROD.</t>
  </si>
  <si>
    <t xml:space="preserve">QTD  </t>
  </si>
  <si>
    <t>CAP.</t>
  </si>
  <si>
    <t>ENTRADA ATUAL</t>
  </si>
  <si>
    <t>PEDIDOS FATURADO ($)</t>
  </si>
  <si>
    <t>RECEBIDO</t>
  </si>
  <si>
    <t>EMBALADO</t>
  </si>
  <si>
    <t>OES - REMAN</t>
  </si>
  <si>
    <t>IAM - REMAN</t>
  </si>
  <si>
    <t>SENSOR</t>
  </si>
  <si>
    <t>RESUMO</t>
  </si>
  <si>
    <t>VOLVO</t>
  </si>
  <si>
    <t>MBB ( FALSO REMAN )</t>
  </si>
  <si>
    <t>IAM-EUI</t>
  </si>
  <si>
    <t>IAM-CR</t>
  </si>
  <si>
    <t>IAM-RASPADINHA</t>
  </si>
  <si>
    <t>PSA</t>
  </si>
  <si>
    <t>GM</t>
  </si>
  <si>
    <t>IAM</t>
  </si>
  <si>
    <t>OES</t>
  </si>
  <si>
    <t>VLR R$ ( M)</t>
  </si>
  <si>
    <t>OBS</t>
  </si>
  <si>
    <t>Volvo</t>
  </si>
  <si>
    <t>EUI - IAM</t>
  </si>
  <si>
    <t>CR-IAM</t>
  </si>
  <si>
    <t>CR - Falso Reman</t>
  </si>
  <si>
    <t>Raspadinha</t>
  </si>
  <si>
    <t>FORECAST</t>
  </si>
  <si>
    <t>FALTA</t>
  </si>
  <si>
    <t>PART NUMBES PRODUZIDOS</t>
  </si>
  <si>
    <t>MBB</t>
  </si>
  <si>
    <t>IAM - CR</t>
  </si>
  <si>
    <t>RASPADINHA</t>
  </si>
  <si>
    <t>E1</t>
  </si>
  <si>
    <t>CR - MBB</t>
  </si>
  <si>
    <t>BEBE4C00001-R</t>
  </si>
  <si>
    <t>28229873-R</t>
  </si>
  <si>
    <t>CR - HYUNDAI</t>
  </si>
  <si>
    <t>28342997-13B2</t>
  </si>
  <si>
    <t>25328253GM</t>
  </si>
  <si>
    <t>ES20330-13B1</t>
  </si>
  <si>
    <t>BEBE4C01001-R</t>
  </si>
  <si>
    <t>28342997-R</t>
  </si>
  <si>
    <t>28307309-13B2</t>
  </si>
  <si>
    <t>25356711GM</t>
  </si>
  <si>
    <t>ES20331-13B1</t>
  </si>
  <si>
    <t>E3</t>
  </si>
  <si>
    <t>2 P/N</t>
  </si>
  <si>
    <t>BEBE4D24001-R</t>
  </si>
  <si>
    <t>28307309-R</t>
  </si>
  <si>
    <t>ES20404-13B1</t>
  </si>
  <si>
    <t>TROCA PLAQUETA E REGRAVAR COM RF</t>
  </si>
  <si>
    <t>BEBE4D24002-R</t>
  </si>
  <si>
    <t>28229873-RF</t>
  </si>
  <si>
    <t>RISCAR NR OE</t>
  </si>
  <si>
    <t>28267284AR</t>
  </si>
  <si>
    <t>ES20405-13B1</t>
  </si>
  <si>
    <t>BEBE4D25101-R</t>
  </si>
  <si>
    <t>28342997-RF</t>
  </si>
  <si>
    <t>28267282PA</t>
  </si>
  <si>
    <t>ES20406-13B1</t>
  </si>
  <si>
    <t>BEBE4K01001-R</t>
  </si>
  <si>
    <t>5 P/N</t>
  </si>
  <si>
    <t>28267283PA</t>
  </si>
  <si>
    <t>ES20587-13B1</t>
  </si>
  <si>
    <t>6 P/N</t>
  </si>
  <si>
    <t>BEBE4D35001-R</t>
  </si>
  <si>
    <t>28267284PA</t>
  </si>
  <si>
    <t>ES20624-13B1</t>
  </si>
  <si>
    <t>BEBE4D21001-R</t>
  </si>
  <si>
    <t>7 P/N</t>
  </si>
  <si>
    <t>ES20625-13B1</t>
  </si>
  <si>
    <t>BEBE4D25001-R</t>
  </si>
  <si>
    <t>ES20626-13B1</t>
  </si>
  <si>
    <t>BEBE4C00001-RF</t>
  </si>
  <si>
    <t>ES20627-13B1</t>
  </si>
  <si>
    <t>BEBE4C01001-RF</t>
  </si>
  <si>
    <t>ES20628-13B1</t>
  </si>
  <si>
    <t>BEBE4D24001-RF</t>
  </si>
  <si>
    <t>ES20511-13B1</t>
  </si>
  <si>
    <t>BEBE4D24002-RF</t>
  </si>
  <si>
    <t>ES20686-13B1</t>
  </si>
  <si>
    <t>BEBE4D25101-RF</t>
  </si>
  <si>
    <t>ES20685-13B1</t>
  </si>
  <si>
    <t>BEBE4K01001-RF</t>
  </si>
  <si>
    <t>ES20094-11B1</t>
  </si>
  <si>
    <t>BEBE4D35001-RF</t>
  </si>
  <si>
    <t>ES20012-11B1</t>
  </si>
  <si>
    <t>BEBE4D21001-RF</t>
  </si>
  <si>
    <t>ES20316-11B1</t>
  </si>
  <si>
    <t>BEBE4D25001-RF</t>
  </si>
  <si>
    <t>17 P/N</t>
  </si>
  <si>
    <t>18 P/N</t>
  </si>
  <si>
    <t>33 P/N REMAN</t>
  </si>
  <si>
    <t>26 P/N SENSOR</t>
  </si>
  <si>
    <t>TODOS</t>
  </si>
  <si>
    <t>QTDE MÃO DE OBRA</t>
  </si>
  <si>
    <t>OBSERVAÇÃO</t>
  </si>
  <si>
    <t>operação</t>
  </si>
  <si>
    <t>FATURA ATÉ 26/03</t>
  </si>
  <si>
    <t>FATURAR ATÉ 30/03</t>
  </si>
  <si>
    <t>VLR R$</t>
  </si>
  <si>
    <t>EUI</t>
  </si>
  <si>
    <t>Finalizado</t>
  </si>
  <si>
    <t>CR</t>
  </si>
  <si>
    <t>INICIO 16/03</t>
  </si>
  <si>
    <t>Pré montgaem + Operação</t>
  </si>
  <si>
    <t>Peças OX Negra</t>
  </si>
  <si>
    <t>Pré Montagem + Inventário + operação</t>
  </si>
  <si>
    <t>Desmontagem - MP P/ Exportação</t>
  </si>
  <si>
    <t>Pré Montagem</t>
  </si>
  <si>
    <t>A6510703087</t>
  </si>
  <si>
    <t>Ajudando na Operação</t>
  </si>
  <si>
    <t>Todo Time Reman e Sensor na Operação + 1 Garantia</t>
  </si>
  <si>
    <t>VLR  R$ ( M  )</t>
  </si>
  <si>
    <t>REMAN</t>
  </si>
  <si>
    <t>A6510704987</t>
  </si>
  <si>
    <t>operação + embalagem</t>
  </si>
  <si>
    <t>HORAS DISPONÍVEL</t>
  </si>
  <si>
    <t>HORAS  NECESSÁRIA</t>
  </si>
  <si>
    <t>QTDE RECEBIDO</t>
  </si>
  <si>
    <t>QTDE APROVADO</t>
  </si>
  <si>
    <t>QTDE REPROVA</t>
  </si>
  <si>
    <t>ÍNDICE</t>
  </si>
  <si>
    <t>A651070308700800001</t>
  </si>
  <si>
    <t>A651070498700800001</t>
  </si>
  <si>
    <t>QTOS FALSO REMAN JÁ JOGAMOS NO MERCADO?</t>
  </si>
  <si>
    <t>FORECAST LINHAS</t>
  </si>
  <si>
    <t>MO DISPONÍVEL X NECESSÁRIO</t>
  </si>
  <si>
    <t>TEMPO NECESSÁRIO X  MO</t>
  </si>
  <si>
    <t>FIXO</t>
  </si>
  <si>
    <t>HORÁRIO</t>
  </si>
  <si>
    <t>MO NECESSÁRIO</t>
  </si>
  <si>
    <t>MO DÍSPONÍVEL</t>
  </si>
  <si>
    <t>SOBRA  / FALTA</t>
  </si>
  <si>
    <t>Reman, Sensor e Messias da garantia na operção</t>
  </si>
  <si>
    <t>OPE</t>
  </si>
  <si>
    <t>FÉRIAS</t>
  </si>
  <si>
    <t>Carlos Alberto Maniero Dos Santos</t>
  </si>
  <si>
    <t>Planejamento</t>
  </si>
  <si>
    <t>ADM</t>
  </si>
  <si>
    <t>SEN</t>
  </si>
  <si>
    <t>EMB</t>
  </si>
  <si>
    <t>GAR</t>
  </si>
  <si>
    <t>ATESTADO</t>
  </si>
  <si>
    <t>REM</t>
  </si>
  <si>
    <t>MAN</t>
  </si>
  <si>
    <t>Wesley Ferraz Valencio</t>
  </si>
  <si>
    <t>REC</t>
  </si>
  <si>
    <t>AUSENTE</t>
  </si>
  <si>
    <t>OBREVIAÇÃO</t>
  </si>
  <si>
    <t>Histórico do Mês - SETEMBRO</t>
  </si>
  <si>
    <t>Qtde</t>
  </si>
  <si>
    <t>✓</t>
  </si>
  <si>
    <t>Total dias úteis</t>
  </si>
  <si>
    <t>Transcorrido</t>
  </si>
  <si>
    <t>Fériado</t>
  </si>
  <si>
    <t>Contole de NFs recebidas na Logistica  para Pagamentos.</t>
  </si>
  <si>
    <t>Data Recebimento</t>
  </si>
  <si>
    <t>Mês</t>
  </si>
  <si>
    <t>Nº Nota Fical</t>
  </si>
  <si>
    <t>Fornecedor / Remerente</t>
  </si>
  <si>
    <t>Vlt Total</t>
  </si>
  <si>
    <t>Responsável</t>
  </si>
  <si>
    <t>Tipo</t>
  </si>
  <si>
    <t>Assunto</t>
  </si>
  <si>
    <t>Nº E-Request</t>
  </si>
  <si>
    <t>Provisão com Finanças                     ( Sim ou Não )</t>
  </si>
  <si>
    <t>NF Ativa ou 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</si>
</sst>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5" formatCode="0.0%"/>
    <numFmt numFmtId="166" formatCode="#,##0.000"/>
    <numFmt numFmtId="167" formatCode="[$-416]d\-mmm;@"/>
    <numFmt numFmtId="168" formatCode="[$-F800]dddd\,\ mmmm\ dd\,\ yyyy"/>
    <numFmt numFmtId="169" formatCode="0.000"/>
    <numFmt numFmtId="170" formatCode="#,##0.0"/>
    <numFmt numFmtId="171" formatCode="d/m;@"/>
    <numFmt numFmtId="172" formatCode="h:mm;@"/>
    <numFmt numFmtId="173" formatCode="#,##0.00_ ;\-#,##0.00\ "/>
  </numFmts>
  <fonts count="9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0000FF"/>
      <name val="Aptos Narrow"/>
      <family val="2"/>
      <scheme val="minor"/>
    </font>
    <font>
      <b/>
      <i/>
      <sz val="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u/>
      <sz val="12"/>
      <color theme="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9"/>
      <color theme="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u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sz val="7"/>
      <color theme="0"/>
      <name val="Arial"/>
      <family val="2"/>
    </font>
    <font>
      <b/>
      <sz val="14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i/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sz val="9"/>
      <color indexed="81"/>
      <name val="Segoe UI"/>
      <family val="2"/>
    </font>
    <font>
      <b/>
      <sz val="14"/>
      <color indexed="81"/>
      <name val="Segoe UI"/>
      <family val="2"/>
    </font>
    <font>
      <sz val="14"/>
      <color indexed="81"/>
      <name val="Segoe UI"/>
      <family val="2"/>
    </font>
    <font>
      <b/>
      <sz val="18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indexed="81"/>
      <name val="Segoe UI"/>
      <family val="2"/>
    </font>
    <font>
      <b/>
      <sz val="16"/>
      <color indexed="81"/>
      <name val="Segoe UI"/>
      <family val="2"/>
    </font>
    <font>
      <b/>
      <sz val="14"/>
      <color indexed="81"/>
      <name val="Arial"/>
      <family val="2"/>
    </font>
    <font>
      <b/>
      <sz val="9"/>
      <color indexed="81"/>
      <name val="Arial"/>
      <family val="2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16"/>
      <color indexed="81"/>
      <name val="Segoe UI"/>
      <family val="2"/>
    </font>
    <font>
      <b/>
      <sz val="8"/>
      <color theme="0"/>
      <name val="Arial"/>
      <family val="2"/>
    </font>
    <font>
      <b/>
      <sz val="8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b/>
      <sz val="9"/>
      <color rgb="FFFF0000"/>
      <name val="Aptos Narrow"/>
      <family val="2"/>
      <scheme val="minor"/>
    </font>
    <font>
      <b/>
      <sz val="14"/>
      <color theme="0"/>
      <name val="Arial"/>
      <family val="2"/>
    </font>
    <font>
      <b/>
      <i/>
      <u/>
      <sz val="24"/>
      <color theme="0"/>
      <name val="Aptos Narrow"/>
      <family val="2"/>
      <scheme val="minor"/>
    </font>
    <font>
      <b/>
      <sz val="12"/>
      <color indexed="81"/>
      <name val="Arial"/>
      <family val="2"/>
    </font>
    <font>
      <b/>
      <sz val="9"/>
      <color rgb="FF0000FF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14"/>
      <color theme="0" tint="-4.9989318521683403E-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9"/>
      <color theme="1"/>
      <name val="Arial"/>
      <family val="2"/>
    </font>
    <font>
      <b/>
      <sz val="8"/>
      <color theme="1"/>
      <name val="Aptos Narrow"/>
      <family val="2"/>
    </font>
    <font>
      <b/>
      <sz val="8"/>
      <color theme="1"/>
      <name val="Roboto"/>
    </font>
    <font>
      <b/>
      <sz val="8"/>
      <color theme="0" tint="-4.9989318521683403E-2"/>
      <name val="Arial"/>
      <family val="2"/>
    </font>
    <font>
      <b/>
      <sz val="14"/>
      <color theme="6" tint="0.39997558519241921"/>
      <name val="Arial"/>
      <family val="2"/>
    </font>
    <font>
      <b/>
      <sz val="12"/>
      <color rgb="FFFF0000"/>
      <name val="Arial"/>
      <family val="2"/>
    </font>
    <font>
      <b/>
      <sz val="18"/>
      <color theme="0"/>
      <name val="Arial"/>
      <family val="2"/>
    </font>
    <font>
      <b/>
      <sz val="10"/>
      <color theme="1"/>
      <name val="Arial"/>
    </font>
    <font>
      <b/>
      <sz val="11"/>
      <color theme="1"/>
      <name val="Aptos Narrow"/>
      <family val="2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8A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/>
      <diagonal/>
    </border>
    <border>
      <left style="thick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 style="thin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/>
      <diagonal/>
    </border>
    <border>
      <left style="thick">
        <color theme="4" tint="-0.499984740745262"/>
      </left>
      <right style="thick">
        <color theme="4" tint="-0.499984740745262"/>
      </right>
      <top/>
      <bottom style="thick">
        <color auto="1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/>
      <top style="thick">
        <color theme="4" tint="-0.499984740745262"/>
      </top>
      <bottom style="thin">
        <color theme="4" tint="-0.499984740745262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/>
      <right style="thick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/>
      <top/>
      <bottom style="thick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 style="thick">
        <color theme="4" tint="-0.499984740745262"/>
      </right>
      <top/>
      <bottom style="thick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 style="thin">
        <color theme="4" tint="-0.499984740745262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theme="4" tint="-0.499984740745262"/>
      </right>
      <top/>
      <bottom style="thick">
        <color auto="1"/>
      </bottom>
      <diagonal/>
    </border>
    <border>
      <left/>
      <right style="thick">
        <color theme="4" tint="-0.499984740745262"/>
      </right>
      <top/>
      <bottom/>
      <diagonal/>
    </border>
    <border>
      <left style="thick">
        <color theme="4" tint="-0.499984740745262"/>
      </left>
      <right/>
      <top/>
      <bottom/>
      <diagonal/>
    </border>
    <border>
      <left style="thick">
        <color theme="4" tint="-0.499984740745262"/>
      </left>
      <right/>
      <top style="thin">
        <color theme="4" tint="-0.499984740745262"/>
      </top>
      <bottom/>
      <diagonal/>
    </border>
    <border>
      <left/>
      <right style="thick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theme="6" tint="-0.24994659260841701"/>
      </left>
      <right style="thick">
        <color theme="6" tint="-0.24994659260841701"/>
      </right>
      <top style="thick">
        <color theme="6" tint="-0.24994659260841701"/>
      </top>
      <bottom style="thin">
        <color theme="6" tint="-0.24994659260841701"/>
      </bottom>
      <diagonal/>
    </border>
    <border>
      <left style="thick">
        <color theme="6" tint="-0.24994659260841701"/>
      </left>
      <right style="thick">
        <color theme="6" tint="-0.24994659260841701"/>
      </right>
      <top style="thick">
        <color theme="6" tint="-0.24994659260841701"/>
      </top>
      <bottom/>
      <diagonal/>
    </border>
    <border>
      <left style="thick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 style="thick">
        <color theme="6" tint="-0.24994659260841701"/>
      </left>
      <right style="thick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ck">
        <color theme="6" tint="-0.24994659260841701"/>
      </left>
      <right style="thick">
        <color theme="6" tint="-0.2499465926084170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theme="6" tint="-0.24994659260841701"/>
      </left>
      <right style="thick">
        <color theme="6" tint="-0.24994659260841701"/>
      </right>
      <top style="thin">
        <color theme="6" tint="-0.24994659260841701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4" tint="-0.499984740745262"/>
      </left>
      <right/>
      <top style="thick">
        <color theme="4" tint="-0.499984740745262"/>
      </top>
      <bottom/>
      <diagonal/>
    </border>
    <border>
      <left/>
      <right/>
      <top style="thick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ck">
        <color theme="4" tint="-0.499984740745262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theme="6" tint="-0.24994659260841701"/>
      </left>
      <right/>
      <top/>
      <bottom/>
      <diagonal/>
    </border>
    <border>
      <left/>
      <right style="thick">
        <color theme="6" tint="-0.24994659260841701"/>
      </right>
      <top/>
      <bottom/>
      <diagonal/>
    </border>
    <border>
      <left style="thick">
        <color theme="6" tint="-0.24994659260841701"/>
      </left>
      <right style="thick">
        <color theme="6" tint="-0.24994659260841701"/>
      </right>
      <top style="thin">
        <color theme="6" tint="-0.24994659260841701"/>
      </top>
      <bottom style="thick">
        <color theme="6" tint="-0.24994659260841701"/>
      </bottom>
      <diagonal/>
    </border>
    <border>
      <left/>
      <right style="thick">
        <color theme="4" tint="-0.499984740745262"/>
      </right>
      <top style="thin">
        <color theme="4" tint="-0.499984740745262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 style="thick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</borders>
  <cellStyleXfs count="5">
    <xf numFmtId="0" fontId="0" fillId="0" borderId="0"/>
    <xf numFmtId="0" fontId="7" fillId="0" borderId="5" applyNumberFormat="0" applyFill="0" applyAlignment="0" applyProtection="0"/>
    <xf numFmtId="0" fontId="8" fillId="7" borderId="0" applyNumberFormat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981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0" borderId="0" xfId="0" applyFont="1" applyAlignment="1">
      <alignment horizontal="center" vertical="center"/>
    </xf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 vertical="center"/>
    </xf>
    <xf numFmtId="20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/>
    <xf numFmtId="9" fontId="1" fillId="3" borderId="1" xfId="0" applyNumberFormat="1" applyFont="1" applyFill="1" applyBorder="1" applyAlignment="1">
      <alignment horizontal="center" vertical="center"/>
    </xf>
    <xf numFmtId="9" fontId="1" fillId="4" borderId="0" xfId="0" applyNumberFormat="1" applyFont="1" applyFill="1" applyAlignment="1">
      <alignment horizontal="center" vertical="center"/>
    </xf>
    <xf numFmtId="0" fontId="1" fillId="3" borderId="1" xfId="0" applyFont="1" applyFill="1" applyBorder="1"/>
    <xf numFmtId="10" fontId="1" fillId="3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3" borderId="1" xfId="3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7" fillId="4" borderId="14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" fillId="11" borderId="0" xfId="0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3" fontId="24" fillId="9" borderId="18" xfId="0" applyNumberFormat="1" applyFont="1" applyFill="1" applyBorder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8" fillId="13" borderId="22" xfId="0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4" fillId="12" borderId="22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24" fillId="12" borderId="22" xfId="0" applyNumberFormat="1" applyFont="1" applyFill="1" applyBorder="1" applyAlignment="1">
      <alignment horizontal="center" vertical="center" wrapText="1"/>
    </xf>
    <xf numFmtId="3" fontId="17" fillId="0" borderId="18" xfId="0" applyNumberFormat="1" applyFont="1" applyBorder="1" applyAlignment="1">
      <alignment horizontal="center" vertical="center" wrapText="1"/>
    </xf>
    <xf numFmtId="0" fontId="23" fillId="2" borderId="28" xfId="0" applyFont="1" applyFill="1" applyBorder="1" applyAlignment="1">
      <alignment horizontal="center" vertical="center" wrapText="1"/>
    </xf>
    <xf numFmtId="3" fontId="17" fillId="2" borderId="0" xfId="0" applyNumberFormat="1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49" fontId="24" fillId="0" borderId="18" xfId="0" applyNumberFormat="1" applyFont="1" applyBorder="1" applyAlignment="1">
      <alignment horizontal="center" vertical="center" wrapText="1"/>
    </xf>
    <xf numFmtId="49" fontId="32" fillId="2" borderId="17" xfId="0" applyNumberFormat="1" applyFont="1" applyFill="1" applyBorder="1" applyAlignment="1">
      <alignment horizontal="center" vertical="center" wrapText="1"/>
    </xf>
    <xf numFmtId="49" fontId="23" fillId="2" borderId="21" xfId="0" applyNumberFormat="1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171" fontId="24" fillId="0" borderId="26" xfId="0" applyNumberFormat="1" applyFont="1" applyBorder="1" applyAlignment="1">
      <alignment horizontal="center" vertical="center" wrapText="1"/>
    </xf>
    <xf numFmtId="171" fontId="24" fillId="0" borderId="18" xfId="0" applyNumberFormat="1" applyFont="1" applyBorder="1" applyAlignment="1">
      <alignment horizontal="center" vertical="center" wrapText="1"/>
    </xf>
    <xf numFmtId="171" fontId="24" fillId="9" borderId="18" xfId="0" applyNumberFormat="1" applyFont="1" applyFill="1" applyBorder="1" applyAlignment="1">
      <alignment horizontal="center" vertical="center" wrapText="1"/>
    </xf>
    <xf numFmtId="171" fontId="23" fillId="2" borderId="18" xfId="0" applyNumberFormat="1" applyFont="1" applyFill="1" applyBorder="1" applyAlignment="1">
      <alignment horizontal="center" vertical="center" wrapText="1"/>
    </xf>
    <xf numFmtId="171" fontId="24" fillId="0" borderId="21" xfId="0" applyNumberFormat="1" applyFont="1" applyBorder="1" applyAlignment="1">
      <alignment horizontal="center" vertical="center" wrapText="1"/>
    </xf>
    <xf numFmtId="3" fontId="17" fillId="9" borderId="21" xfId="0" applyNumberFormat="1" applyFont="1" applyFill="1" applyBorder="1" applyAlignment="1">
      <alignment horizontal="center" vertical="center" wrapText="1"/>
    </xf>
    <xf numFmtId="3" fontId="17" fillId="2" borderId="13" xfId="0" applyNumberFormat="1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169" fontId="32" fillId="2" borderId="18" xfId="0" applyNumberFormat="1" applyFont="1" applyFill="1" applyBorder="1" applyAlignment="1">
      <alignment horizontal="center" vertical="center" wrapText="1"/>
    </xf>
    <xf numFmtId="3" fontId="20" fillId="4" borderId="0" xfId="0" applyNumberFormat="1" applyFont="1" applyFill="1" applyAlignment="1">
      <alignment horizontal="center" vertical="center"/>
    </xf>
    <xf numFmtId="3" fontId="34" fillId="4" borderId="16" xfId="0" applyNumberFormat="1" applyFont="1" applyFill="1" applyBorder="1" applyAlignment="1">
      <alignment horizontal="center" vertical="center"/>
    </xf>
    <xf numFmtId="3" fontId="35" fillId="4" borderId="0" xfId="0" applyNumberFormat="1" applyFont="1" applyFill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49" fontId="37" fillId="0" borderId="0" xfId="0" applyNumberFormat="1" applyFont="1" applyAlignment="1">
      <alignment horizontal="center" vertical="center" wrapText="1"/>
    </xf>
    <xf numFmtId="170" fontId="34" fillId="4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1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15" fillId="0" borderId="0" xfId="0" applyNumberFormat="1" applyFont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171" fontId="23" fillId="0" borderId="35" xfId="0" applyNumberFormat="1" applyFont="1" applyBorder="1" applyAlignment="1">
      <alignment horizontal="center" vertical="center" wrapText="1"/>
    </xf>
    <xf numFmtId="171" fontId="23" fillId="15" borderId="33" xfId="0" applyNumberFormat="1" applyFont="1" applyFill="1" applyBorder="1" applyAlignment="1">
      <alignment horizontal="center" vertical="center" wrapText="1"/>
    </xf>
    <xf numFmtId="3" fontId="23" fillId="15" borderId="33" xfId="0" applyNumberFormat="1" applyFont="1" applyFill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4" fillId="9" borderId="17" xfId="0" applyFont="1" applyFill="1" applyBorder="1" applyAlignment="1">
      <alignment horizontal="left" vertical="center" wrapText="1"/>
    </xf>
    <xf numFmtId="0" fontId="24" fillId="9" borderId="18" xfId="0" applyFont="1" applyFill="1" applyBorder="1" applyAlignment="1">
      <alignment horizontal="left" vertical="center" wrapText="1"/>
    </xf>
    <xf numFmtId="0" fontId="24" fillId="9" borderId="21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3" fontId="24" fillId="9" borderId="17" xfId="0" applyNumberFormat="1" applyFont="1" applyFill="1" applyBorder="1" applyAlignment="1">
      <alignment horizontal="center" vertical="center" wrapText="1"/>
    </xf>
    <xf numFmtId="4" fontId="24" fillId="9" borderId="18" xfId="0" applyNumberFormat="1" applyFont="1" applyFill="1" applyBorder="1" applyAlignment="1">
      <alignment horizontal="center" vertical="center" wrapText="1"/>
    </xf>
    <xf numFmtId="4" fontId="24" fillId="9" borderId="21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171" fontId="24" fillId="0" borderId="33" xfId="0" applyNumberFormat="1" applyFont="1" applyBorder="1" applyAlignment="1">
      <alignment horizontal="center" vertical="center" wrapText="1"/>
    </xf>
    <xf numFmtId="171" fontId="24" fillId="0" borderId="35" xfId="0" applyNumberFormat="1" applyFont="1" applyBorder="1" applyAlignment="1">
      <alignment horizontal="center" vertical="center" wrapText="1"/>
    </xf>
    <xf numFmtId="9" fontId="24" fillId="0" borderId="35" xfId="3" applyFont="1" applyFill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3" fontId="17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168" fontId="17" fillId="2" borderId="0" xfId="0" applyNumberFormat="1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9" fontId="15" fillId="0" borderId="0" xfId="3" applyFont="1" applyAlignment="1">
      <alignment horizontal="center" vertical="center" wrapText="1"/>
    </xf>
    <xf numFmtId="9" fontId="0" fillId="0" borderId="0" xfId="3" applyFont="1" applyAlignment="1">
      <alignment horizontal="center" vertical="center" wrapText="1"/>
    </xf>
    <xf numFmtId="3" fontId="24" fillId="17" borderId="33" xfId="3" applyNumberFormat="1" applyFont="1" applyFill="1" applyBorder="1" applyAlignment="1">
      <alignment horizontal="center" vertical="center" wrapText="1"/>
    </xf>
    <xf numFmtId="10" fontId="24" fillId="17" borderId="33" xfId="0" applyNumberFormat="1" applyFont="1" applyFill="1" applyBorder="1" applyAlignment="1">
      <alignment horizontal="center" vertical="center" wrapText="1"/>
    </xf>
    <xf numFmtId="2" fontId="24" fillId="17" borderId="33" xfId="0" applyNumberFormat="1" applyFont="1" applyFill="1" applyBorder="1" applyAlignment="1">
      <alignment horizontal="center" vertical="center" wrapText="1"/>
    </xf>
    <xf numFmtId="170" fontId="24" fillId="17" borderId="33" xfId="3" applyNumberFormat="1" applyFont="1" applyFill="1" applyBorder="1" applyAlignment="1">
      <alignment horizontal="center" vertical="center" wrapText="1"/>
    </xf>
    <xf numFmtId="2" fontId="23" fillId="2" borderId="33" xfId="0" applyNumberFormat="1" applyFont="1" applyFill="1" applyBorder="1" applyAlignment="1">
      <alignment horizontal="center" vertical="center" wrapText="1"/>
    </xf>
    <xf numFmtId="170" fontId="23" fillId="2" borderId="33" xfId="3" applyNumberFormat="1" applyFont="1" applyFill="1" applyBorder="1" applyAlignment="1">
      <alignment horizontal="center" vertical="center" wrapText="1"/>
    </xf>
    <xf numFmtId="171" fontId="23" fillId="0" borderId="0" xfId="0" applyNumberFormat="1" applyFont="1" applyAlignment="1">
      <alignment horizontal="center" vertical="center" wrapText="1"/>
    </xf>
    <xf numFmtId="3" fontId="24" fillId="17" borderId="43" xfId="3" applyNumberFormat="1" applyFont="1" applyFill="1" applyBorder="1" applyAlignment="1">
      <alignment horizontal="center" vertical="center" wrapText="1"/>
    </xf>
    <xf numFmtId="0" fontId="23" fillId="16" borderId="22" xfId="0" applyFont="1" applyFill="1" applyBorder="1" applyAlignment="1">
      <alignment horizontal="center" vertical="center" wrapText="1"/>
    </xf>
    <xf numFmtId="9" fontId="24" fillId="17" borderId="33" xfId="3" applyFont="1" applyFill="1" applyBorder="1" applyAlignment="1">
      <alignment horizontal="center" vertical="center" wrapText="1"/>
    </xf>
    <xf numFmtId="3" fontId="24" fillId="10" borderId="33" xfId="0" applyNumberFormat="1" applyFont="1" applyFill="1" applyBorder="1" applyAlignment="1">
      <alignment horizontal="center" vertical="center" wrapText="1"/>
    </xf>
    <xf numFmtId="171" fontId="22" fillId="15" borderId="34" xfId="0" applyNumberFormat="1" applyFont="1" applyFill="1" applyBorder="1" applyAlignment="1">
      <alignment horizontal="center" vertical="center" wrapText="1"/>
    </xf>
    <xf numFmtId="171" fontId="22" fillId="0" borderId="35" xfId="0" applyNumberFormat="1" applyFont="1" applyBorder="1" applyAlignment="1">
      <alignment horizontal="center" vertical="center" wrapText="1"/>
    </xf>
    <xf numFmtId="3" fontId="22" fillId="15" borderId="34" xfId="0" applyNumberFormat="1" applyFont="1" applyFill="1" applyBorder="1" applyAlignment="1">
      <alignment horizontal="center" vertical="center" wrapText="1"/>
    </xf>
    <xf numFmtId="9" fontId="22" fillId="0" borderId="35" xfId="0" applyNumberFormat="1" applyFont="1" applyBorder="1" applyAlignment="1">
      <alignment horizontal="center" vertical="center" wrapText="1"/>
    </xf>
    <xf numFmtId="165" fontId="22" fillId="15" borderId="34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51" fillId="3" borderId="1" xfId="0" applyFont="1" applyFill="1" applyBorder="1" applyAlignment="1">
      <alignment horizontal="center" vertical="center"/>
    </xf>
    <xf numFmtId="49" fontId="53" fillId="10" borderId="18" xfId="0" applyNumberFormat="1" applyFont="1" applyFill="1" applyBorder="1" applyAlignment="1">
      <alignment horizontal="center" vertical="center" wrapText="1"/>
    </xf>
    <xf numFmtId="49" fontId="29" fillId="3" borderId="18" xfId="0" applyNumberFormat="1" applyFont="1" applyFill="1" applyBorder="1" applyAlignment="1">
      <alignment horizontal="center" vertical="center" wrapText="1"/>
    </xf>
    <xf numFmtId="3" fontId="29" fillId="3" borderId="18" xfId="0" applyNumberFormat="1" applyFont="1" applyFill="1" applyBorder="1" applyAlignment="1">
      <alignment horizontal="center" vertical="center" wrapText="1"/>
    </xf>
    <xf numFmtId="3" fontId="29" fillId="2" borderId="18" xfId="0" applyNumberFormat="1" applyFont="1" applyFill="1" applyBorder="1" applyAlignment="1">
      <alignment horizontal="center" vertical="center" wrapText="1"/>
    </xf>
    <xf numFmtId="49" fontId="29" fillId="10" borderId="18" xfId="0" applyNumberFormat="1" applyFont="1" applyFill="1" applyBorder="1" applyAlignment="1">
      <alignment horizontal="center" vertical="center" wrapText="1"/>
    </xf>
    <xf numFmtId="3" fontId="29" fillId="10" borderId="18" xfId="0" applyNumberFormat="1" applyFont="1" applyFill="1" applyBorder="1" applyAlignment="1">
      <alignment horizontal="center" vertical="center" wrapText="1"/>
    </xf>
    <xf numFmtId="49" fontId="29" fillId="9" borderId="18" xfId="0" applyNumberFormat="1" applyFont="1" applyFill="1" applyBorder="1" applyAlignment="1">
      <alignment horizontal="center" vertical="center" wrapText="1"/>
    </xf>
    <xf numFmtId="3" fontId="29" fillId="9" borderId="18" xfId="0" applyNumberFormat="1" applyFont="1" applyFill="1" applyBorder="1" applyAlignment="1">
      <alignment horizontal="center" vertical="center" wrapText="1"/>
    </xf>
    <xf numFmtId="49" fontId="29" fillId="2" borderId="18" xfId="0" applyNumberFormat="1" applyFont="1" applyFill="1" applyBorder="1" applyAlignment="1">
      <alignment horizontal="center" vertical="center" wrapText="1"/>
    </xf>
    <xf numFmtId="49" fontId="29" fillId="10" borderId="26" xfId="0" applyNumberFormat="1" applyFont="1" applyFill="1" applyBorder="1" applyAlignment="1">
      <alignment horizontal="center" vertical="center" wrapText="1"/>
    </xf>
    <xf numFmtId="3" fontId="29" fillId="10" borderId="26" xfId="0" applyNumberFormat="1" applyFont="1" applyFill="1" applyBorder="1" applyAlignment="1">
      <alignment horizontal="center" vertical="center" wrapText="1"/>
    </xf>
    <xf numFmtId="3" fontId="29" fillId="2" borderId="26" xfId="0" applyNumberFormat="1" applyFont="1" applyFill="1" applyBorder="1" applyAlignment="1">
      <alignment horizontal="center" vertical="center" wrapText="1"/>
    </xf>
    <xf numFmtId="3" fontId="22" fillId="2" borderId="18" xfId="0" applyNumberFormat="1" applyFont="1" applyFill="1" applyBorder="1" applyAlignment="1">
      <alignment horizontal="center" vertical="center" wrapText="1"/>
    </xf>
    <xf numFmtId="49" fontId="22" fillId="2" borderId="18" xfId="0" applyNumberFormat="1" applyFont="1" applyFill="1" applyBorder="1" applyAlignment="1">
      <alignment horizontal="center" vertical="center" wrapText="1"/>
    </xf>
    <xf numFmtId="3" fontId="29" fillId="0" borderId="18" xfId="0" applyNumberFormat="1" applyFont="1" applyBorder="1" applyAlignment="1">
      <alignment horizontal="center" vertical="center" wrapText="1"/>
    </xf>
    <xf numFmtId="49" fontId="29" fillId="0" borderId="18" xfId="0" applyNumberFormat="1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49" fontId="29" fillId="9" borderId="21" xfId="0" applyNumberFormat="1" applyFont="1" applyFill="1" applyBorder="1" applyAlignment="1">
      <alignment horizontal="center" vertical="center" wrapText="1"/>
    </xf>
    <xf numFmtId="3" fontId="29" fillId="9" borderId="21" xfId="0" applyNumberFormat="1" applyFont="1" applyFill="1" applyBorder="1" applyAlignment="1">
      <alignment horizontal="center" vertical="center" wrapText="1"/>
    </xf>
    <xf numFmtId="3" fontId="29" fillId="2" borderId="21" xfId="0" applyNumberFormat="1" applyFont="1" applyFill="1" applyBorder="1" applyAlignment="1">
      <alignment horizontal="center" vertical="center" wrapText="1"/>
    </xf>
    <xf numFmtId="49" fontId="29" fillId="0" borderId="26" xfId="0" applyNumberFormat="1" applyFont="1" applyBorder="1" applyAlignment="1">
      <alignment horizontal="center" vertical="center" wrapText="1"/>
    </xf>
    <xf numFmtId="3" fontId="22" fillId="2" borderId="26" xfId="0" applyNumberFormat="1" applyFont="1" applyFill="1" applyBorder="1" applyAlignment="1">
      <alignment horizontal="center" vertical="center" wrapText="1"/>
    </xf>
    <xf numFmtId="3" fontId="22" fillId="0" borderId="29" xfId="0" applyNumberFormat="1" applyFont="1" applyBorder="1" applyAlignment="1">
      <alignment horizontal="center" vertical="center" wrapText="1"/>
    </xf>
    <xf numFmtId="3" fontId="29" fillId="0" borderId="26" xfId="0" applyNumberFormat="1" applyFont="1" applyBorder="1" applyAlignment="1">
      <alignment horizontal="center" vertical="center" wrapText="1"/>
    </xf>
    <xf numFmtId="3" fontId="22" fillId="4" borderId="29" xfId="0" applyNumberFormat="1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 wrapText="1"/>
    </xf>
    <xf numFmtId="3" fontId="22" fillId="2" borderId="0" xfId="0" applyNumberFormat="1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9" fontId="22" fillId="2" borderId="0" xfId="3" applyFont="1" applyFill="1" applyAlignment="1">
      <alignment horizontal="center" vertical="center" wrapText="1"/>
    </xf>
    <xf numFmtId="9" fontId="22" fillId="2" borderId="0" xfId="0" applyNumberFormat="1" applyFont="1" applyFill="1" applyAlignment="1">
      <alignment horizontal="center" vertical="center" wrapText="1"/>
    </xf>
    <xf numFmtId="3" fontId="22" fillId="0" borderId="24" xfId="0" applyNumberFormat="1" applyFont="1" applyBorder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 wrapText="1"/>
    </xf>
    <xf numFmtId="3" fontId="29" fillId="0" borderId="0" xfId="0" applyNumberFormat="1" applyFont="1" applyAlignment="1">
      <alignment horizontal="center" vertical="center" wrapText="1"/>
    </xf>
    <xf numFmtId="9" fontId="22" fillId="0" borderId="0" xfId="0" applyNumberFormat="1" applyFont="1" applyAlignment="1">
      <alignment horizontal="center" vertical="center" wrapText="1"/>
    </xf>
    <xf numFmtId="0" fontId="29" fillId="9" borderId="30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29" fillId="9" borderId="31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9" fontId="29" fillId="9" borderId="31" xfId="3" applyFont="1" applyFill="1" applyBorder="1" applyAlignment="1">
      <alignment horizontal="center" vertical="center" wrapText="1"/>
    </xf>
    <xf numFmtId="9" fontId="22" fillId="2" borderId="31" xfId="3" applyFont="1" applyFill="1" applyBorder="1" applyAlignment="1">
      <alignment horizontal="center" vertical="center" wrapText="1"/>
    </xf>
    <xf numFmtId="9" fontId="22" fillId="0" borderId="0" xfId="3" applyFont="1" applyFill="1" applyBorder="1" applyAlignment="1">
      <alignment horizontal="center" vertical="center" wrapText="1"/>
    </xf>
    <xf numFmtId="0" fontId="29" fillId="9" borderId="32" xfId="0" applyFont="1" applyFill="1" applyBorder="1" applyAlignment="1">
      <alignment horizontal="center" vertical="center" wrapText="1"/>
    </xf>
    <xf numFmtId="0" fontId="22" fillId="2" borderId="32" xfId="0" applyFont="1" applyFill="1" applyBorder="1" applyAlignment="1">
      <alignment horizontal="center" vertical="center" wrapText="1"/>
    </xf>
    <xf numFmtId="9" fontId="29" fillId="9" borderId="32" xfId="3" applyFont="1" applyFill="1" applyBorder="1" applyAlignment="1">
      <alignment horizontal="center" vertical="center" wrapText="1"/>
    </xf>
    <xf numFmtId="0" fontId="54" fillId="14" borderId="0" xfId="0" applyFont="1" applyFill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4" fillId="6" borderId="0" xfId="0" applyFont="1" applyFill="1" applyAlignment="1">
      <alignment horizontal="center" vertical="center" wrapText="1"/>
    </xf>
    <xf numFmtId="0" fontId="54" fillId="9" borderId="0" xfId="0" applyFont="1" applyFill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3" fontId="26" fillId="0" borderId="18" xfId="0" applyNumberFormat="1" applyFont="1" applyBorder="1" applyAlignment="1">
      <alignment horizontal="center" vertical="center" wrapText="1"/>
    </xf>
    <xf numFmtId="169" fontId="26" fillId="0" borderId="18" xfId="0" applyNumberFormat="1" applyFont="1" applyBorder="1" applyAlignment="1">
      <alignment horizontal="center" vertical="center" wrapText="1"/>
    </xf>
    <xf numFmtId="0" fontId="26" fillId="9" borderId="18" xfId="0" applyFont="1" applyFill="1" applyBorder="1" applyAlignment="1">
      <alignment horizontal="center" vertical="center" wrapText="1"/>
    </xf>
    <xf numFmtId="3" fontId="26" fillId="9" borderId="18" xfId="0" applyNumberFormat="1" applyFont="1" applyFill="1" applyBorder="1" applyAlignment="1">
      <alignment horizontal="center" vertical="center" wrapText="1"/>
    </xf>
    <xf numFmtId="169" fontId="26" fillId="9" borderId="18" xfId="0" applyNumberFormat="1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169" fontId="26" fillId="0" borderId="11" xfId="0" applyNumberFormat="1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9" borderId="21" xfId="0" applyFont="1" applyFill="1" applyBorder="1" applyAlignment="1">
      <alignment horizontal="center" vertical="center" wrapText="1"/>
    </xf>
    <xf numFmtId="3" fontId="26" fillId="9" borderId="21" xfId="0" applyNumberFormat="1" applyFont="1" applyFill="1" applyBorder="1" applyAlignment="1">
      <alignment horizontal="center" vertical="center" wrapText="1"/>
    </xf>
    <xf numFmtId="169" fontId="26" fillId="9" borderId="21" xfId="0" applyNumberFormat="1" applyFont="1" applyFill="1" applyBorder="1" applyAlignment="1">
      <alignment horizontal="center" vertical="center" wrapText="1"/>
    </xf>
    <xf numFmtId="3" fontId="26" fillId="0" borderId="0" xfId="0" applyNumberFormat="1" applyFont="1" applyAlignment="1">
      <alignment horizontal="center" vertical="center" wrapText="1"/>
    </xf>
    <xf numFmtId="166" fontId="26" fillId="0" borderId="0" xfId="0" applyNumberFormat="1" applyFont="1" applyAlignment="1">
      <alignment horizontal="center" vertical="center" wrapText="1"/>
    </xf>
    <xf numFmtId="0" fontId="26" fillId="9" borderId="0" xfId="0" applyFont="1" applyFill="1" applyAlignment="1">
      <alignment horizontal="center" vertical="center" wrapText="1"/>
    </xf>
    <xf numFmtId="3" fontId="26" fillId="9" borderId="0" xfId="0" applyNumberFormat="1" applyFont="1" applyFill="1" applyAlignment="1">
      <alignment horizontal="center" vertical="center" wrapText="1"/>
    </xf>
    <xf numFmtId="166" fontId="26" fillId="9" borderId="0" xfId="0" applyNumberFormat="1" applyFont="1" applyFill="1" applyAlignment="1">
      <alignment horizontal="center" vertical="center" wrapText="1"/>
    </xf>
    <xf numFmtId="3" fontId="53" fillId="0" borderId="18" xfId="0" applyNumberFormat="1" applyFont="1" applyBorder="1" applyAlignment="1">
      <alignment horizontal="center" vertical="center" wrapText="1"/>
    </xf>
    <xf numFmtId="49" fontId="53" fillId="2" borderId="18" xfId="0" applyNumberFormat="1" applyFont="1" applyFill="1" applyBorder="1" applyAlignment="1">
      <alignment horizontal="center" vertical="center" wrapText="1"/>
    </xf>
    <xf numFmtId="3" fontId="53" fillId="2" borderId="18" xfId="0" applyNumberFormat="1" applyFont="1" applyFill="1" applyBorder="1" applyAlignment="1">
      <alignment horizontal="center" vertical="center" wrapText="1"/>
    </xf>
    <xf numFmtId="3" fontId="24" fillId="0" borderId="35" xfId="0" applyNumberFormat="1" applyFont="1" applyBorder="1" applyAlignment="1">
      <alignment horizontal="center" vertical="center" wrapText="1"/>
    </xf>
    <xf numFmtId="3" fontId="23" fillId="0" borderId="35" xfId="0" applyNumberFormat="1" applyFont="1" applyBorder="1" applyAlignment="1">
      <alignment horizontal="center" vertical="center" wrapText="1"/>
    </xf>
    <xf numFmtId="9" fontId="23" fillId="0" borderId="35" xfId="3" applyFont="1" applyFill="1" applyBorder="1" applyAlignment="1">
      <alignment horizontal="center" vertical="center" wrapText="1"/>
    </xf>
    <xf numFmtId="9" fontId="22" fillId="0" borderId="35" xfId="3" applyFont="1" applyFill="1" applyBorder="1" applyAlignment="1">
      <alignment horizontal="center" vertical="center" wrapText="1"/>
    </xf>
    <xf numFmtId="9" fontId="15" fillId="0" borderId="0" xfId="3" applyFont="1" applyFill="1" applyBorder="1" applyAlignment="1">
      <alignment horizontal="center" vertical="center" wrapText="1"/>
    </xf>
    <xf numFmtId="9" fontId="0" fillId="0" borderId="0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165" fontId="24" fillId="17" borderId="43" xfId="3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9" fontId="24" fillId="0" borderId="0" xfId="3" applyFont="1" applyFill="1" applyBorder="1" applyAlignment="1">
      <alignment horizontal="center" vertical="center" wrapText="1"/>
    </xf>
    <xf numFmtId="3" fontId="24" fillId="17" borderId="46" xfId="0" applyNumberFormat="1" applyFont="1" applyFill="1" applyBorder="1" applyAlignment="1">
      <alignment horizontal="center" vertical="center" wrapText="1"/>
    </xf>
    <xf numFmtId="3" fontId="24" fillId="17" borderId="47" xfId="0" applyNumberFormat="1" applyFont="1" applyFill="1" applyBorder="1" applyAlignment="1">
      <alignment horizontal="center" vertical="center" wrapText="1"/>
    </xf>
    <xf numFmtId="9" fontId="24" fillId="17" borderId="47" xfId="3" applyFont="1" applyFill="1" applyBorder="1" applyAlignment="1">
      <alignment horizontal="center" vertical="center" wrapText="1"/>
    </xf>
    <xf numFmtId="165" fontId="24" fillId="17" borderId="46" xfId="0" applyNumberFormat="1" applyFont="1" applyFill="1" applyBorder="1" applyAlignment="1">
      <alignment horizontal="center" vertical="center" wrapText="1"/>
    </xf>
    <xf numFmtId="0" fontId="24" fillId="17" borderId="47" xfId="0" applyFont="1" applyFill="1" applyBorder="1" applyAlignment="1">
      <alignment horizontal="center" vertical="center" wrapText="1"/>
    </xf>
    <xf numFmtId="2" fontId="24" fillId="17" borderId="46" xfId="0" applyNumberFormat="1" applyFont="1" applyFill="1" applyBorder="1" applyAlignment="1">
      <alignment horizontal="center" vertical="center" wrapText="1"/>
    </xf>
    <xf numFmtId="171" fontId="24" fillId="0" borderId="45" xfId="0" applyNumberFormat="1" applyFont="1" applyBorder="1" applyAlignment="1">
      <alignment horizontal="center" vertical="center" wrapText="1"/>
    </xf>
    <xf numFmtId="3" fontId="24" fillId="17" borderId="45" xfId="3" applyNumberFormat="1" applyFont="1" applyFill="1" applyBorder="1" applyAlignment="1">
      <alignment horizontal="center" vertical="center" wrapText="1"/>
    </xf>
    <xf numFmtId="3" fontId="24" fillId="10" borderId="45" xfId="0" applyNumberFormat="1" applyFont="1" applyFill="1" applyBorder="1" applyAlignment="1">
      <alignment horizontal="center" vertical="center" wrapText="1"/>
    </xf>
    <xf numFmtId="9" fontId="24" fillId="17" borderId="45" xfId="3" applyFont="1" applyFill="1" applyBorder="1" applyAlignment="1">
      <alignment horizontal="center" vertical="center" wrapText="1"/>
    </xf>
    <xf numFmtId="165" fontId="24" fillId="17" borderId="45" xfId="3" applyNumberFormat="1" applyFont="1" applyFill="1" applyBorder="1" applyAlignment="1">
      <alignment horizontal="center" vertical="center" wrapText="1"/>
    </xf>
    <xf numFmtId="171" fontId="24" fillId="0" borderId="0" xfId="0" applyNumberFormat="1" applyFont="1" applyAlignment="1">
      <alignment horizontal="center" vertical="center" wrapText="1"/>
    </xf>
    <xf numFmtId="3" fontId="24" fillId="10" borderId="46" xfId="0" applyNumberFormat="1" applyFont="1" applyFill="1" applyBorder="1" applyAlignment="1">
      <alignment horizontal="center" vertical="center" wrapText="1"/>
    </xf>
    <xf numFmtId="0" fontId="24" fillId="10" borderId="47" xfId="0" applyFont="1" applyFill="1" applyBorder="1" applyAlignment="1">
      <alignment horizontal="center" vertical="center" wrapText="1"/>
    </xf>
    <xf numFmtId="0" fontId="24" fillId="10" borderId="46" xfId="0" applyFont="1" applyFill="1" applyBorder="1" applyAlignment="1">
      <alignment horizontal="center" vertical="center" wrapText="1"/>
    </xf>
    <xf numFmtId="172" fontId="24" fillId="10" borderId="45" xfId="3" applyNumberFormat="1" applyFont="1" applyFill="1" applyBorder="1" applyAlignment="1">
      <alignment horizontal="center" vertical="center" wrapText="1"/>
    </xf>
    <xf numFmtId="172" fontId="24" fillId="10" borderId="43" xfId="3" applyNumberFormat="1" applyFont="1" applyFill="1" applyBorder="1" applyAlignment="1">
      <alignment horizontal="center" vertical="center" wrapText="1"/>
    </xf>
    <xf numFmtId="172" fontId="23" fillId="15" borderId="33" xfId="0" applyNumberFormat="1" applyFont="1" applyFill="1" applyBorder="1" applyAlignment="1">
      <alignment horizontal="center" vertical="center" wrapText="1"/>
    </xf>
    <xf numFmtId="172" fontId="24" fillId="10" borderId="33" xfId="3" applyNumberFormat="1" applyFont="1" applyFill="1" applyBorder="1" applyAlignment="1">
      <alignment horizontal="center" vertical="center" wrapText="1"/>
    </xf>
    <xf numFmtId="9" fontId="24" fillId="0" borderId="35" xfId="3" applyFont="1" applyBorder="1" applyAlignment="1">
      <alignment horizontal="center" vertical="center" wrapText="1"/>
    </xf>
    <xf numFmtId="9" fontId="22" fillId="15" borderId="48" xfId="3" applyFont="1" applyFill="1" applyBorder="1" applyAlignment="1">
      <alignment horizontal="center" vertical="center" wrapText="1"/>
    </xf>
    <xf numFmtId="9" fontId="24" fillId="17" borderId="34" xfId="3" applyFont="1" applyFill="1" applyBorder="1" applyAlignment="1">
      <alignment horizontal="center" vertical="center" wrapText="1"/>
    </xf>
    <xf numFmtId="3" fontId="24" fillId="10" borderId="49" xfId="0" applyNumberFormat="1" applyFont="1" applyFill="1" applyBorder="1" applyAlignment="1">
      <alignment horizontal="center" vertical="center" wrapText="1"/>
    </xf>
    <xf numFmtId="3" fontId="24" fillId="10" borderId="36" xfId="0" applyNumberFormat="1" applyFont="1" applyFill="1" applyBorder="1" applyAlignment="1">
      <alignment horizontal="center" vertical="center" wrapText="1"/>
    </xf>
    <xf numFmtId="4" fontId="24" fillId="10" borderId="50" xfId="0" applyNumberFormat="1" applyFont="1" applyFill="1" applyBorder="1" applyAlignment="1">
      <alignment horizontal="center" vertical="center" wrapText="1"/>
    </xf>
    <xf numFmtId="4" fontId="24" fillId="10" borderId="51" xfId="0" applyNumberFormat="1" applyFont="1" applyFill="1" applyBorder="1" applyAlignment="1">
      <alignment horizontal="center" vertical="center" wrapText="1"/>
    </xf>
    <xf numFmtId="4" fontId="24" fillId="17" borderId="45" xfId="0" applyNumberFormat="1" applyFont="1" applyFill="1" applyBorder="1" applyAlignment="1">
      <alignment horizontal="center" vertical="center" wrapText="1"/>
    </xf>
    <xf numFmtId="4" fontId="24" fillId="17" borderId="33" xfId="0" applyNumberFormat="1" applyFont="1" applyFill="1" applyBorder="1" applyAlignment="1">
      <alignment horizontal="center" vertical="center" wrapText="1"/>
    </xf>
    <xf numFmtId="4" fontId="24" fillId="10" borderId="33" xfId="0" applyNumberFormat="1" applyFont="1" applyFill="1" applyBorder="1" applyAlignment="1">
      <alignment horizontal="center" vertical="center" wrapText="1"/>
    </xf>
    <xf numFmtId="4" fontId="23" fillId="2" borderId="43" xfId="0" applyNumberFormat="1" applyFont="1" applyFill="1" applyBorder="1" applyAlignment="1">
      <alignment horizontal="center" vertical="center" wrapText="1"/>
    </xf>
    <xf numFmtId="4" fontId="23" fillId="2" borderId="55" xfId="0" applyNumberFormat="1" applyFont="1" applyFill="1" applyBorder="1" applyAlignment="1">
      <alignment horizontal="center" vertical="center" wrapText="1"/>
    </xf>
    <xf numFmtId="4" fontId="23" fillId="2" borderId="33" xfId="0" applyNumberFormat="1" applyFont="1" applyFill="1" applyBorder="1" applyAlignment="1">
      <alignment horizontal="center" vertical="center" wrapText="1"/>
    </xf>
    <xf numFmtId="2" fontId="23" fillId="2" borderId="43" xfId="0" applyNumberFormat="1" applyFont="1" applyFill="1" applyBorder="1" applyAlignment="1">
      <alignment horizontal="center" vertical="center" wrapText="1"/>
    </xf>
    <xf numFmtId="170" fontId="23" fillId="2" borderId="43" xfId="3" applyNumberFormat="1" applyFont="1" applyFill="1" applyBorder="1" applyAlignment="1">
      <alignment horizontal="center" vertical="center" wrapText="1"/>
    </xf>
    <xf numFmtId="2" fontId="23" fillId="2" borderId="35" xfId="0" applyNumberFormat="1" applyFont="1" applyFill="1" applyBorder="1" applyAlignment="1">
      <alignment horizontal="center" vertical="center" wrapText="1"/>
    </xf>
    <xf numFmtId="170" fontId="23" fillId="2" borderId="35" xfId="3" applyNumberFormat="1" applyFont="1" applyFill="1" applyBorder="1" applyAlignment="1">
      <alignment horizontal="center" vertical="center" wrapText="1"/>
    </xf>
    <xf numFmtId="4" fontId="22" fillId="2" borderId="34" xfId="0" applyNumberFormat="1" applyFont="1" applyFill="1" applyBorder="1" applyAlignment="1">
      <alignment horizontal="center" vertical="center" wrapText="1"/>
    </xf>
    <xf numFmtId="170" fontId="22" fillId="2" borderId="34" xfId="3" applyNumberFormat="1" applyFont="1" applyFill="1" applyBorder="1" applyAlignment="1">
      <alignment horizontal="center" vertical="center" wrapText="1"/>
    </xf>
    <xf numFmtId="4" fontId="23" fillId="2" borderId="35" xfId="0" applyNumberFormat="1" applyFont="1" applyFill="1" applyBorder="1" applyAlignment="1">
      <alignment horizontal="center" vertical="center" wrapText="1"/>
    </xf>
    <xf numFmtId="3" fontId="23" fillId="2" borderId="36" xfId="0" applyNumberFormat="1" applyFont="1" applyFill="1" applyBorder="1" applyAlignment="1">
      <alignment horizontal="center" vertical="center" wrapText="1"/>
    </xf>
    <xf numFmtId="4" fontId="23" fillId="2" borderId="51" xfId="0" applyNumberFormat="1" applyFont="1" applyFill="1" applyBorder="1" applyAlignment="1">
      <alignment horizontal="center" vertical="center" wrapText="1"/>
    </xf>
    <xf numFmtId="9" fontId="23" fillId="2" borderId="33" xfId="3" applyFont="1" applyFill="1" applyBorder="1" applyAlignment="1">
      <alignment horizontal="center" vertical="center" wrapText="1"/>
    </xf>
    <xf numFmtId="3" fontId="23" fillId="2" borderId="33" xfId="0" applyNumberFormat="1" applyFont="1" applyFill="1" applyBorder="1" applyAlignment="1">
      <alignment horizontal="center" vertical="center" wrapText="1"/>
    </xf>
    <xf numFmtId="10" fontId="23" fillId="2" borderId="33" xfId="0" applyNumberFormat="1" applyFont="1" applyFill="1" applyBorder="1" applyAlignment="1">
      <alignment horizontal="center" vertical="center" wrapText="1"/>
    </xf>
    <xf numFmtId="165" fontId="23" fillId="2" borderId="43" xfId="3" applyNumberFormat="1" applyFont="1" applyFill="1" applyBorder="1" applyAlignment="1">
      <alignment horizontal="center" vertical="center" wrapText="1"/>
    </xf>
    <xf numFmtId="4" fontId="24" fillId="10" borderId="45" xfId="0" applyNumberFormat="1" applyFont="1" applyFill="1" applyBorder="1" applyAlignment="1">
      <alignment horizontal="center" vertical="center" wrapText="1"/>
    </xf>
    <xf numFmtId="0" fontId="24" fillId="17" borderId="46" xfId="0" applyFont="1" applyFill="1" applyBorder="1" applyAlignment="1">
      <alignment horizontal="center" vertical="center" wrapText="1"/>
    </xf>
    <xf numFmtId="0" fontId="10" fillId="10" borderId="9" xfId="2" applyFont="1" applyFill="1" applyBorder="1" applyAlignment="1">
      <alignment horizontal="center" vertical="center" wrapText="1"/>
    </xf>
    <xf numFmtId="0" fontId="56" fillId="16" borderId="0" xfId="0" applyFont="1" applyFill="1" applyAlignment="1">
      <alignment horizontal="center" vertical="center" wrapText="1"/>
    </xf>
    <xf numFmtId="3" fontId="53" fillId="10" borderId="18" xfId="0" applyNumberFormat="1" applyFont="1" applyFill="1" applyBorder="1" applyAlignment="1">
      <alignment horizontal="center" vertical="center" wrapText="1"/>
    </xf>
    <xf numFmtId="171" fontId="29" fillId="9" borderId="18" xfId="0" applyNumberFormat="1" applyFont="1" applyFill="1" applyBorder="1" applyAlignment="1">
      <alignment horizontal="center" vertical="center" wrapText="1"/>
    </xf>
    <xf numFmtId="168" fontId="29" fillId="0" borderId="0" xfId="0" applyNumberFormat="1" applyFont="1" applyAlignment="1">
      <alignment horizontal="center" vertical="center" wrapText="1"/>
    </xf>
    <xf numFmtId="3" fontId="29" fillId="2" borderId="0" xfId="0" applyNumberFormat="1" applyFont="1" applyFill="1" applyAlignment="1">
      <alignment horizontal="center" vertical="center" wrapText="1"/>
    </xf>
    <xf numFmtId="170" fontId="22" fillId="2" borderId="33" xfId="3" applyNumberFormat="1" applyFont="1" applyFill="1" applyBorder="1" applyAlignment="1">
      <alignment horizontal="center" vertical="center" wrapText="1"/>
    </xf>
    <xf numFmtId="170" fontId="36" fillId="10" borderId="33" xfId="3" applyNumberFormat="1" applyFont="1" applyFill="1" applyBorder="1" applyAlignment="1">
      <alignment horizontal="center" vertical="center" wrapText="1"/>
    </xf>
    <xf numFmtId="170" fontId="59" fillId="2" borderId="33" xfId="3" applyNumberFormat="1" applyFont="1" applyFill="1" applyBorder="1" applyAlignment="1">
      <alignment horizontal="center" vertical="center" wrapText="1"/>
    </xf>
    <xf numFmtId="170" fontId="36" fillId="10" borderId="33" xfId="3" applyNumberFormat="1" applyFont="1" applyFill="1" applyBorder="1" applyAlignment="1">
      <alignment horizontal="left" vertical="center" wrapText="1"/>
    </xf>
    <xf numFmtId="0" fontId="55" fillId="0" borderId="48" xfId="0" applyFont="1" applyBorder="1" applyAlignment="1">
      <alignment horizontal="center" vertical="center" wrapText="1"/>
    </xf>
    <xf numFmtId="3" fontId="24" fillId="0" borderId="46" xfId="0" applyNumberFormat="1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18" borderId="46" xfId="0" applyFont="1" applyFill="1" applyBorder="1" applyAlignment="1">
      <alignment horizontal="center" vertical="center" wrapText="1"/>
    </xf>
    <xf numFmtId="0" fontId="24" fillId="12" borderId="46" xfId="0" applyFont="1" applyFill="1" applyBorder="1" applyAlignment="1">
      <alignment horizontal="center" vertical="center" wrapText="1"/>
    </xf>
    <xf numFmtId="2" fontId="24" fillId="0" borderId="46" xfId="0" applyNumberFormat="1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9" fontId="24" fillId="0" borderId="47" xfId="3" applyFont="1" applyBorder="1" applyAlignment="1">
      <alignment horizontal="center" vertical="center" wrapText="1"/>
    </xf>
    <xf numFmtId="9" fontId="24" fillId="0" borderId="0" xfId="3" applyFont="1" applyAlignment="1">
      <alignment horizontal="center" vertical="center" wrapText="1"/>
    </xf>
    <xf numFmtId="0" fontId="24" fillId="18" borderId="47" xfId="0" applyFont="1" applyFill="1" applyBorder="1" applyAlignment="1">
      <alignment horizontal="center" vertical="center" wrapText="1"/>
    </xf>
    <xf numFmtId="0" fontId="24" fillId="12" borderId="47" xfId="0" applyFont="1" applyFill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71" fontId="22" fillId="0" borderId="61" xfId="0" applyNumberFormat="1" applyFont="1" applyBorder="1" applyAlignment="1">
      <alignment horizontal="center" vertical="center" wrapText="1"/>
    </xf>
    <xf numFmtId="9" fontId="22" fillId="0" borderId="60" xfId="3" applyFont="1" applyBorder="1" applyAlignment="1">
      <alignment horizontal="center" vertical="center" wrapText="1"/>
    </xf>
    <xf numFmtId="171" fontId="22" fillId="0" borderId="60" xfId="0" applyNumberFormat="1" applyFont="1" applyBorder="1" applyAlignment="1">
      <alignment horizontal="center" vertical="center" wrapText="1"/>
    </xf>
    <xf numFmtId="3" fontId="22" fillId="0" borderId="35" xfId="0" applyNumberFormat="1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71" fontId="60" fillId="19" borderId="65" xfId="0" applyNumberFormat="1" applyFont="1" applyFill="1" applyBorder="1" applyAlignment="1">
      <alignment horizontal="center" vertical="center" wrapText="1"/>
    </xf>
    <xf numFmtId="4" fontId="53" fillId="0" borderId="68" xfId="0" applyNumberFormat="1" applyFont="1" applyBorder="1" applyAlignment="1">
      <alignment horizontal="center" vertical="center" wrapText="1"/>
    </xf>
    <xf numFmtId="49" fontId="22" fillId="2" borderId="0" xfId="0" applyNumberFormat="1" applyFont="1" applyFill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171" fontId="22" fillId="2" borderId="34" xfId="0" applyNumberFormat="1" applyFont="1" applyFill="1" applyBorder="1" applyAlignment="1">
      <alignment horizontal="center" vertical="center" wrapText="1"/>
    </xf>
    <xf numFmtId="3" fontId="22" fillId="2" borderId="34" xfId="0" applyNumberFormat="1" applyFont="1" applyFill="1" applyBorder="1" applyAlignment="1">
      <alignment horizontal="center" vertical="center" wrapText="1"/>
    </xf>
    <xf numFmtId="3" fontId="22" fillId="2" borderId="63" xfId="0" applyNumberFormat="1" applyFont="1" applyFill="1" applyBorder="1" applyAlignment="1">
      <alignment horizontal="center" vertical="center" wrapText="1"/>
    </xf>
    <xf numFmtId="0" fontId="24" fillId="0" borderId="71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7" fillId="0" borderId="2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19" borderId="23" xfId="0" applyFont="1" applyFill="1" applyBorder="1" applyAlignment="1">
      <alignment vertical="center" wrapText="1"/>
    </xf>
    <xf numFmtId="0" fontId="17" fillId="0" borderId="25" xfId="0" applyFont="1" applyBorder="1" applyAlignment="1">
      <alignment vertical="center" wrapText="1"/>
    </xf>
    <xf numFmtId="3" fontId="22" fillId="2" borderId="29" xfId="0" applyNumberFormat="1" applyFont="1" applyFill="1" applyBorder="1" applyAlignment="1">
      <alignment horizontal="center" vertical="center" wrapText="1"/>
    </xf>
    <xf numFmtId="3" fontId="22" fillId="2" borderId="24" xfId="0" applyNumberFormat="1" applyFont="1" applyFill="1" applyBorder="1" applyAlignment="1">
      <alignment horizontal="center" vertical="center" wrapText="1"/>
    </xf>
    <xf numFmtId="9" fontId="22" fillId="2" borderId="0" xfId="3" applyFont="1" applyFill="1" applyBorder="1" applyAlignment="1">
      <alignment horizontal="center" vertical="center" wrapText="1"/>
    </xf>
    <xf numFmtId="0" fontId="29" fillId="9" borderId="0" xfId="0" applyFont="1" applyFill="1" applyAlignment="1">
      <alignment horizontal="center" vertical="center" wrapText="1"/>
    </xf>
    <xf numFmtId="9" fontId="29" fillId="9" borderId="0" xfId="3" applyFont="1" applyFill="1" applyBorder="1" applyAlignment="1">
      <alignment horizontal="center" vertical="center" wrapText="1"/>
    </xf>
    <xf numFmtId="0" fontId="9" fillId="8" borderId="8" xfId="2" applyFont="1" applyFill="1" applyBorder="1" applyAlignment="1">
      <alignment horizontal="center" vertical="center" wrapText="1"/>
    </xf>
    <xf numFmtId="0" fontId="61" fillId="10" borderId="9" xfId="2" applyFont="1" applyFill="1" applyBorder="1" applyAlignment="1">
      <alignment horizontal="center" vertical="center" wrapText="1"/>
    </xf>
    <xf numFmtId="0" fontId="61" fillId="9" borderId="6" xfId="2" applyFont="1" applyFill="1" applyBorder="1" applyAlignment="1">
      <alignment horizontal="left" vertical="center" wrapText="1"/>
    </xf>
    <xf numFmtId="0" fontId="62" fillId="9" borderId="6" xfId="2" applyFont="1" applyFill="1" applyBorder="1" applyAlignment="1">
      <alignment horizontal="left" vertical="center" wrapText="1"/>
    </xf>
    <xf numFmtId="0" fontId="61" fillId="9" borderId="10" xfId="2" applyFont="1" applyFill="1" applyBorder="1" applyAlignment="1">
      <alignment horizontal="left" vertical="center" wrapText="1"/>
    </xf>
    <xf numFmtId="0" fontId="63" fillId="0" borderId="0" xfId="0" applyFont="1" applyAlignment="1">
      <alignment horizontal="center" vertical="center" wrapText="1"/>
    </xf>
    <xf numFmtId="171" fontId="63" fillId="0" borderId="45" xfId="0" applyNumberFormat="1" applyFont="1" applyBorder="1" applyAlignment="1">
      <alignment horizontal="center" vertical="center" wrapText="1"/>
    </xf>
    <xf numFmtId="171" fontId="63" fillId="0" borderId="0" xfId="0" applyNumberFormat="1" applyFont="1" applyAlignment="1">
      <alignment horizontal="center" vertical="center" wrapText="1"/>
    </xf>
    <xf numFmtId="3" fontId="63" fillId="0" borderId="45" xfId="3" applyNumberFormat="1" applyFont="1" applyBorder="1" applyAlignment="1">
      <alignment horizontal="center" vertical="center" wrapText="1"/>
    </xf>
    <xf numFmtId="171" fontId="63" fillId="0" borderId="35" xfId="0" applyNumberFormat="1" applyFont="1" applyBorder="1" applyAlignment="1">
      <alignment horizontal="center" vertical="center" wrapText="1"/>
    </xf>
    <xf numFmtId="171" fontId="63" fillId="0" borderId="61" xfId="0" applyNumberFormat="1" applyFont="1" applyBorder="1" applyAlignment="1">
      <alignment horizontal="center" vertical="center" wrapText="1"/>
    </xf>
    <xf numFmtId="9" fontId="63" fillId="0" borderId="45" xfId="3" applyFont="1" applyBorder="1" applyAlignment="1">
      <alignment horizontal="center" vertical="center" wrapText="1"/>
    </xf>
    <xf numFmtId="9" fontId="63" fillId="0" borderId="0" xfId="3" applyFont="1" applyAlignment="1">
      <alignment horizontal="center" vertical="center" wrapText="1"/>
    </xf>
    <xf numFmtId="3" fontId="63" fillId="0" borderId="45" xfId="0" applyNumberFormat="1" applyFont="1" applyBorder="1" applyAlignment="1">
      <alignment horizontal="center" vertical="center" wrapText="1"/>
    </xf>
    <xf numFmtId="3" fontId="63" fillId="18" borderId="49" xfId="0" applyNumberFormat="1" applyFont="1" applyFill="1" applyBorder="1" applyAlignment="1">
      <alignment horizontal="center" vertical="center" wrapText="1"/>
    </xf>
    <xf numFmtId="4" fontId="63" fillId="0" borderId="60" xfId="0" applyNumberFormat="1" applyFont="1" applyBorder="1" applyAlignment="1">
      <alignment horizontal="center" vertical="center" wrapText="1"/>
    </xf>
    <xf numFmtId="3" fontId="63" fillId="12" borderId="49" xfId="0" applyNumberFormat="1" applyFont="1" applyFill="1" applyBorder="1" applyAlignment="1">
      <alignment horizontal="center" vertical="center" wrapText="1"/>
    </xf>
    <xf numFmtId="3" fontId="63" fillId="10" borderId="49" xfId="0" applyNumberFormat="1" applyFont="1" applyFill="1" applyBorder="1" applyAlignment="1">
      <alignment horizontal="center" vertical="center" wrapText="1"/>
    </xf>
    <xf numFmtId="2" fontId="63" fillId="0" borderId="45" xfId="0" applyNumberFormat="1" applyFont="1" applyBorder="1" applyAlignment="1">
      <alignment horizontal="center" vertical="center" wrapText="1"/>
    </xf>
    <xf numFmtId="170" fontId="63" fillId="0" borderId="45" xfId="3" applyNumberFormat="1" applyFont="1" applyBorder="1" applyAlignment="1">
      <alignment horizontal="center" vertical="center" wrapText="1"/>
    </xf>
    <xf numFmtId="170" fontId="63" fillId="0" borderId="33" xfId="3" applyNumberFormat="1" applyFont="1" applyBorder="1" applyAlignment="1">
      <alignment horizontal="center" vertical="center" wrapText="1"/>
    </xf>
    <xf numFmtId="171" fontId="63" fillId="0" borderId="33" xfId="0" applyNumberFormat="1" applyFont="1" applyBorder="1" applyAlignment="1">
      <alignment horizontal="center" vertical="center" wrapText="1"/>
    </xf>
    <xf numFmtId="3" fontId="63" fillId="0" borderId="33" xfId="3" applyNumberFormat="1" applyFont="1" applyBorder="1" applyAlignment="1">
      <alignment horizontal="center" vertical="center" wrapText="1"/>
    </xf>
    <xf numFmtId="172" fontId="63" fillId="0" borderId="33" xfId="3" applyNumberFormat="1" applyFont="1" applyBorder="1" applyAlignment="1">
      <alignment horizontal="center" vertical="center" wrapText="1"/>
    </xf>
    <xf numFmtId="3" fontId="63" fillId="0" borderId="33" xfId="0" applyNumberFormat="1" applyFont="1" applyBorder="1" applyAlignment="1">
      <alignment horizontal="center" vertical="center" wrapText="1"/>
    </xf>
    <xf numFmtId="3" fontId="63" fillId="18" borderId="36" xfId="0" applyNumberFormat="1" applyFont="1" applyFill="1" applyBorder="1" applyAlignment="1">
      <alignment horizontal="center" vertical="center" wrapText="1"/>
    </xf>
    <xf numFmtId="3" fontId="63" fillId="12" borderId="36" xfId="0" applyNumberFormat="1" applyFont="1" applyFill="1" applyBorder="1" applyAlignment="1">
      <alignment horizontal="center" vertical="center" wrapText="1"/>
    </xf>
    <xf numFmtId="3" fontId="63" fillId="10" borderId="36" xfId="0" applyNumberFormat="1" applyFont="1" applyFill="1" applyBorder="1" applyAlignment="1">
      <alignment horizontal="center" vertical="center" wrapText="1"/>
    </xf>
    <xf numFmtId="2" fontId="63" fillId="0" borderId="33" xfId="0" applyNumberFormat="1" applyFont="1" applyBorder="1" applyAlignment="1">
      <alignment horizontal="center" vertical="center" wrapText="1"/>
    </xf>
    <xf numFmtId="0" fontId="63" fillId="9" borderId="17" xfId="0" applyFont="1" applyFill="1" applyBorder="1" applyAlignment="1">
      <alignment horizontal="left" vertical="center" wrapText="1"/>
    </xf>
    <xf numFmtId="0" fontId="63" fillId="0" borderId="29" xfId="0" applyFont="1" applyBorder="1" applyAlignment="1">
      <alignment horizontal="center" vertical="center" wrapText="1"/>
    </xf>
    <xf numFmtId="3" fontId="63" fillId="9" borderId="17" xfId="0" applyNumberFormat="1" applyFont="1" applyFill="1" applyBorder="1" applyAlignment="1">
      <alignment horizontal="center" vertical="center" wrapText="1"/>
    </xf>
    <xf numFmtId="0" fontId="63" fillId="0" borderId="18" xfId="0" applyFont="1" applyBorder="1" applyAlignment="1">
      <alignment horizontal="left" vertical="center" wrapText="1"/>
    </xf>
    <xf numFmtId="0" fontId="63" fillId="0" borderId="18" xfId="0" applyFont="1" applyBorder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3" fillId="9" borderId="18" xfId="0" applyFont="1" applyFill="1" applyBorder="1" applyAlignment="1">
      <alignment horizontal="left" vertical="center" wrapText="1"/>
    </xf>
    <xf numFmtId="3" fontId="63" fillId="9" borderId="18" xfId="0" applyNumberFormat="1" applyFont="1" applyFill="1" applyBorder="1" applyAlignment="1">
      <alignment horizontal="center" vertical="center" wrapText="1"/>
    </xf>
    <xf numFmtId="0" fontId="65" fillId="2" borderId="0" xfId="0" applyFont="1" applyFill="1" applyAlignment="1">
      <alignment horizontal="center" vertical="center" wrapText="1"/>
    </xf>
    <xf numFmtId="171" fontId="66" fillId="2" borderId="33" xfId="0" applyNumberFormat="1" applyFont="1" applyFill="1" applyBorder="1" applyAlignment="1">
      <alignment horizontal="center" vertical="center" wrapText="1"/>
    </xf>
    <xf numFmtId="171" fontId="66" fillId="0" borderId="35" xfId="0" applyNumberFormat="1" applyFont="1" applyBorder="1" applyAlignment="1">
      <alignment horizontal="center" vertical="center" wrapText="1"/>
    </xf>
    <xf numFmtId="3" fontId="66" fillId="2" borderId="33" xfId="0" applyNumberFormat="1" applyFont="1" applyFill="1" applyBorder="1" applyAlignment="1">
      <alignment horizontal="center" vertical="center" wrapText="1"/>
    </xf>
    <xf numFmtId="172" fontId="66" fillId="2" borderId="33" xfId="3" applyNumberFormat="1" applyFont="1" applyFill="1" applyBorder="1" applyAlignment="1">
      <alignment horizontal="center" vertical="center" wrapText="1"/>
    </xf>
    <xf numFmtId="171" fontId="66" fillId="0" borderId="61" xfId="0" applyNumberFormat="1" applyFont="1" applyBorder="1" applyAlignment="1">
      <alignment horizontal="center" vertical="center" wrapText="1"/>
    </xf>
    <xf numFmtId="3" fontId="66" fillId="2" borderId="36" xfId="0" applyNumberFormat="1" applyFont="1" applyFill="1" applyBorder="1" applyAlignment="1">
      <alignment horizontal="center" vertical="center" wrapText="1"/>
    </xf>
    <xf numFmtId="9" fontId="66" fillId="0" borderId="0" xfId="3" applyFont="1" applyAlignment="1">
      <alignment horizontal="center" vertical="center" wrapText="1"/>
    </xf>
    <xf numFmtId="171" fontId="66" fillId="0" borderId="0" xfId="0" applyNumberFormat="1" applyFont="1" applyAlignment="1">
      <alignment horizontal="center" vertical="center" wrapText="1"/>
    </xf>
    <xf numFmtId="4" fontId="66" fillId="2" borderId="51" xfId="0" applyNumberFormat="1" applyFont="1" applyFill="1" applyBorder="1" applyAlignment="1">
      <alignment horizontal="center" vertical="center" wrapText="1"/>
    </xf>
    <xf numFmtId="4" fontId="66" fillId="0" borderId="60" xfId="0" applyNumberFormat="1" applyFont="1" applyBorder="1" applyAlignment="1">
      <alignment horizontal="center" vertical="center" wrapText="1"/>
    </xf>
    <xf numFmtId="2" fontId="66" fillId="2" borderId="43" xfId="0" applyNumberFormat="1" applyFont="1" applyFill="1" applyBorder="1" applyAlignment="1">
      <alignment horizontal="center" vertical="center" wrapText="1"/>
    </xf>
    <xf numFmtId="170" fontId="66" fillId="2" borderId="43" xfId="3" applyNumberFormat="1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170" fontId="66" fillId="2" borderId="33" xfId="3" applyNumberFormat="1" applyFont="1" applyFill="1" applyBorder="1" applyAlignment="1">
      <alignment horizontal="center" vertical="center" wrapText="1"/>
    </xf>
    <xf numFmtId="0" fontId="63" fillId="9" borderId="29" xfId="0" applyFont="1" applyFill="1" applyBorder="1" applyAlignment="1">
      <alignment horizontal="center" vertical="center" wrapText="1"/>
    </xf>
    <xf numFmtId="172" fontId="66" fillId="2" borderId="33" xfId="0" applyNumberFormat="1" applyFont="1" applyFill="1" applyBorder="1" applyAlignment="1">
      <alignment horizontal="center" vertical="center" wrapText="1"/>
    </xf>
    <xf numFmtId="2" fontId="66" fillId="2" borderId="35" xfId="0" applyNumberFormat="1" applyFont="1" applyFill="1" applyBorder="1" applyAlignment="1">
      <alignment horizontal="center" vertical="center" wrapText="1"/>
    </xf>
    <xf numFmtId="170" fontId="66" fillId="2" borderId="35" xfId="3" applyNumberFormat="1" applyFont="1" applyFill="1" applyBorder="1" applyAlignment="1">
      <alignment horizontal="center" vertical="center" wrapText="1"/>
    </xf>
    <xf numFmtId="0" fontId="65" fillId="0" borderId="18" xfId="0" applyFont="1" applyBorder="1" applyAlignment="1">
      <alignment horizontal="left" vertical="center" wrapText="1"/>
    </xf>
    <xf numFmtId="0" fontId="65" fillId="0" borderId="29" xfId="0" applyFont="1" applyBorder="1" applyAlignment="1">
      <alignment horizontal="center" vertical="center" wrapText="1"/>
    </xf>
    <xf numFmtId="0" fontId="65" fillId="0" borderId="18" xfId="0" applyFont="1" applyBorder="1" applyAlignment="1">
      <alignment horizontal="center" vertical="center" wrapText="1"/>
    </xf>
    <xf numFmtId="4" fontId="63" fillId="9" borderId="18" xfId="0" applyNumberFormat="1" applyFont="1" applyFill="1" applyBorder="1" applyAlignment="1">
      <alignment horizontal="center" vertical="center" wrapText="1"/>
    </xf>
    <xf numFmtId="0" fontId="64" fillId="0" borderId="18" xfId="0" applyFont="1" applyBorder="1" applyAlignment="1">
      <alignment horizontal="left" vertical="center" wrapText="1"/>
    </xf>
    <xf numFmtId="0" fontId="64" fillId="0" borderId="29" xfId="0" applyFont="1" applyBorder="1" applyAlignment="1">
      <alignment horizontal="center" vertical="center" wrapText="1"/>
    </xf>
    <xf numFmtId="0" fontId="64" fillId="0" borderId="18" xfId="0" applyFont="1" applyBorder="1" applyAlignment="1">
      <alignment horizontal="center" vertical="center" wrapText="1"/>
    </xf>
    <xf numFmtId="0" fontId="63" fillId="9" borderId="21" xfId="0" applyFont="1" applyFill="1" applyBorder="1" applyAlignment="1">
      <alignment horizontal="left" vertical="center" wrapText="1"/>
    </xf>
    <xf numFmtId="4" fontId="63" fillId="9" borderId="21" xfId="0" applyNumberFormat="1" applyFont="1" applyFill="1" applyBorder="1" applyAlignment="1">
      <alignment horizontal="center" vertical="center" wrapText="1"/>
    </xf>
    <xf numFmtId="2" fontId="66" fillId="2" borderId="33" xfId="0" applyNumberFormat="1" applyFont="1" applyFill="1" applyBorder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3" fontId="63" fillId="0" borderId="31" xfId="4" applyNumberFormat="1" applyFont="1" applyFill="1" applyBorder="1" applyAlignment="1">
      <alignment horizontal="center"/>
    </xf>
    <xf numFmtId="0" fontId="63" fillId="0" borderId="24" xfId="0" applyFont="1" applyBorder="1" applyAlignment="1">
      <alignment horizontal="center" vertical="center" wrapText="1"/>
    </xf>
    <xf numFmtId="0" fontId="63" fillId="0" borderId="25" xfId="0" applyFont="1" applyBorder="1" applyAlignment="1">
      <alignment horizontal="center" vertical="center" wrapText="1"/>
    </xf>
    <xf numFmtId="0" fontId="66" fillId="2" borderId="0" xfId="0" applyFont="1" applyFill="1" applyAlignment="1">
      <alignment horizontal="center" vertical="center" wrapText="1"/>
    </xf>
    <xf numFmtId="0" fontId="66" fillId="2" borderId="31" xfId="4" applyNumberFormat="1" applyFont="1" applyFill="1" applyBorder="1" applyAlignment="1">
      <alignment horizontal="center"/>
    </xf>
    <xf numFmtId="0" fontId="64" fillId="0" borderId="41" xfId="0" applyFont="1" applyBorder="1" applyAlignment="1">
      <alignment horizontal="center" vertical="center" wrapText="1"/>
    </xf>
    <xf numFmtId="0" fontId="64" fillId="0" borderId="13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 wrapText="1"/>
    </xf>
    <xf numFmtId="3" fontId="66" fillId="6" borderId="31" xfId="4" applyNumberFormat="1" applyFont="1" applyFill="1" applyBorder="1" applyAlignment="1">
      <alignment horizontal="center"/>
    </xf>
    <xf numFmtId="3" fontId="66" fillId="6" borderId="33" xfId="0" applyNumberFormat="1" applyFont="1" applyFill="1" applyBorder="1" applyAlignment="1">
      <alignment horizontal="center" vertical="center" wrapText="1"/>
    </xf>
    <xf numFmtId="3" fontId="66" fillId="6" borderId="36" xfId="0" applyNumberFormat="1" applyFont="1" applyFill="1" applyBorder="1" applyAlignment="1">
      <alignment horizontal="center" vertical="center" wrapText="1"/>
    </xf>
    <xf numFmtId="4" fontId="63" fillId="0" borderId="0" xfId="0" applyNumberFormat="1" applyFont="1" applyAlignment="1">
      <alignment horizontal="center" vertical="center" wrapText="1"/>
    </xf>
    <xf numFmtId="170" fontId="67" fillId="6" borderId="33" xfId="3" applyNumberFormat="1" applyFont="1" applyFill="1" applyBorder="1" applyAlignment="1">
      <alignment horizontal="center" vertical="center" wrapText="1"/>
    </xf>
    <xf numFmtId="10" fontId="0" fillId="0" borderId="0" xfId="3" applyNumberFormat="1" applyFont="1" applyAlignment="1">
      <alignment horizontal="center" vertical="center" wrapText="1"/>
    </xf>
    <xf numFmtId="9" fontId="67" fillId="2" borderId="34" xfId="3" applyFont="1" applyFill="1" applyBorder="1" applyAlignment="1">
      <alignment horizontal="center" vertical="center" wrapText="1"/>
    </xf>
    <xf numFmtId="9" fontId="67" fillId="6" borderId="33" xfId="3" applyFont="1" applyFill="1" applyBorder="1" applyAlignment="1">
      <alignment horizontal="center" vertical="center" wrapText="1"/>
    </xf>
    <xf numFmtId="3" fontId="67" fillId="6" borderId="36" xfId="0" applyNumberFormat="1" applyFont="1" applyFill="1" applyBorder="1" applyAlignment="1">
      <alignment horizontal="center" vertical="center" wrapText="1"/>
    </xf>
    <xf numFmtId="3" fontId="67" fillId="6" borderId="33" xfId="0" applyNumberFormat="1" applyFont="1" applyFill="1" applyBorder="1" applyAlignment="1">
      <alignment horizontal="center" vertical="center" wrapText="1"/>
    </xf>
    <xf numFmtId="4" fontId="63" fillId="0" borderId="50" xfId="0" applyNumberFormat="1" applyFont="1" applyBorder="1" applyAlignment="1">
      <alignment horizontal="center" vertical="center" wrapText="1"/>
    </xf>
    <xf numFmtId="4" fontId="63" fillId="0" borderId="51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9" fontId="63" fillId="0" borderId="35" xfId="3" applyFont="1" applyFill="1" applyBorder="1" applyAlignment="1">
      <alignment horizontal="center" vertical="center" wrapText="1"/>
    </xf>
    <xf numFmtId="0" fontId="63" fillId="0" borderId="35" xfId="0" applyFont="1" applyBorder="1" applyAlignment="1">
      <alignment horizontal="center" vertical="center" wrapText="1"/>
    </xf>
    <xf numFmtId="0" fontId="66" fillId="0" borderId="35" xfId="0" applyFont="1" applyBorder="1" applyAlignment="1">
      <alignment horizontal="center" vertical="center" wrapText="1"/>
    </xf>
    <xf numFmtId="1" fontId="24" fillId="0" borderId="46" xfId="0" applyNumberFormat="1" applyFont="1" applyBorder="1" applyAlignment="1">
      <alignment horizontal="center" vertical="center" wrapText="1"/>
    </xf>
    <xf numFmtId="1" fontId="24" fillId="0" borderId="47" xfId="0" applyNumberFormat="1" applyFont="1" applyBorder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1" fontId="22" fillId="2" borderId="34" xfId="0" applyNumberFormat="1" applyFont="1" applyFill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68" fillId="0" borderId="33" xfId="0" applyNumberFormat="1" applyFont="1" applyBorder="1" applyAlignment="1">
      <alignment horizontal="center" vertical="center" wrapText="1"/>
    </xf>
    <xf numFmtId="3" fontId="63" fillId="20" borderId="15" xfId="4" applyNumberFormat="1" applyFont="1" applyFill="1" applyBorder="1" applyAlignment="1">
      <alignment horizontal="center"/>
    </xf>
    <xf numFmtId="3" fontId="63" fillId="18" borderId="15" xfId="4" applyNumberFormat="1" applyFont="1" applyFill="1" applyBorder="1" applyAlignment="1">
      <alignment horizontal="center"/>
    </xf>
    <xf numFmtId="3" fontId="66" fillId="6" borderId="15" xfId="4" applyNumberFormat="1" applyFont="1" applyFill="1" applyBorder="1" applyAlignment="1">
      <alignment horizontal="center"/>
    </xf>
    <xf numFmtId="0" fontId="66" fillId="2" borderId="15" xfId="4" applyNumberFormat="1" applyFont="1" applyFill="1" applyBorder="1" applyAlignment="1">
      <alignment horizontal="center"/>
    </xf>
    <xf numFmtId="173" fontId="63" fillId="0" borderId="12" xfId="4" applyNumberFormat="1" applyFont="1" applyFill="1" applyBorder="1" applyAlignment="1">
      <alignment horizontal="center"/>
    </xf>
    <xf numFmtId="173" fontId="66" fillId="2" borderId="12" xfId="4" applyNumberFormat="1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 wrapText="1"/>
    </xf>
    <xf numFmtId="1" fontId="66" fillId="2" borderId="33" xfId="0" applyNumberFormat="1" applyFont="1" applyFill="1" applyBorder="1" applyAlignment="1">
      <alignment horizontal="center" vertical="center" wrapText="1"/>
    </xf>
    <xf numFmtId="1" fontId="63" fillId="0" borderId="33" xfId="0" applyNumberFormat="1" applyFont="1" applyBorder="1" applyAlignment="1">
      <alignment horizontal="center" vertical="center" wrapText="1"/>
    </xf>
    <xf numFmtId="0" fontId="66" fillId="16" borderId="38" xfId="0" applyFont="1" applyFill="1" applyBorder="1" applyAlignment="1">
      <alignment vertical="center" wrapText="1"/>
    </xf>
    <xf numFmtId="0" fontId="66" fillId="16" borderId="39" xfId="0" applyFont="1" applyFill="1" applyBorder="1" applyAlignment="1">
      <alignment vertical="center" wrapText="1"/>
    </xf>
    <xf numFmtId="0" fontId="66" fillId="16" borderId="40" xfId="0" applyFont="1" applyFill="1" applyBorder="1" applyAlignment="1">
      <alignment vertical="center" wrapText="1"/>
    </xf>
    <xf numFmtId="0" fontId="66" fillId="16" borderId="24" xfId="0" applyFont="1" applyFill="1" applyBorder="1" applyAlignment="1">
      <alignment vertical="center" wrapText="1"/>
    </xf>
    <xf numFmtId="0" fontId="66" fillId="16" borderId="0" xfId="0" applyFont="1" applyFill="1" applyAlignment="1">
      <alignment vertical="center" wrapText="1"/>
    </xf>
    <xf numFmtId="0" fontId="66" fillId="16" borderId="25" xfId="0" applyFont="1" applyFill="1" applyBorder="1" applyAlignment="1">
      <alignment vertical="center" wrapText="1"/>
    </xf>
    <xf numFmtId="0" fontId="63" fillId="0" borderId="0" xfId="0" applyFont="1" applyAlignment="1">
      <alignment vertical="center" wrapText="1"/>
    </xf>
    <xf numFmtId="0" fontId="63" fillId="0" borderId="25" xfId="0" applyFont="1" applyBorder="1" applyAlignment="1">
      <alignment vertical="center" wrapText="1"/>
    </xf>
    <xf numFmtId="3" fontId="24" fillId="0" borderId="47" xfId="0" applyNumberFormat="1" applyFont="1" applyBorder="1" applyAlignment="1">
      <alignment horizontal="center" vertical="center" wrapText="1"/>
    </xf>
    <xf numFmtId="0" fontId="14" fillId="21" borderId="0" xfId="0" applyFont="1" applyFill="1" applyAlignment="1">
      <alignment horizontal="center" vertical="center" wrapText="1"/>
    </xf>
    <xf numFmtId="3" fontId="69" fillId="19" borderId="73" xfId="0" applyNumberFormat="1" applyFont="1" applyFill="1" applyBorder="1" applyAlignment="1">
      <alignment horizontal="center" vertical="center" wrapText="1"/>
    </xf>
    <xf numFmtId="4" fontId="24" fillId="0" borderId="0" xfId="0" applyNumberFormat="1" applyFont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9" fontId="63" fillId="0" borderId="33" xfId="3" applyFont="1" applyBorder="1" applyAlignment="1">
      <alignment horizontal="center" vertical="center" wrapText="1"/>
    </xf>
    <xf numFmtId="9" fontId="66" fillId="2" borderId="33" xfId="3" applyFont="1" applyFill="1" applyBorder="1" applyAlignment="1">
      <alignment horizontal="center" vertical="center" wrapText="1"/>
    </xf>
    <xf numFmtId="1" fontId="63" fillId="0" borderId="49" xfId="0" applyNumberFormat="1" applyFont="1" applyBorder="1" applyAlignment="1">
      <alignment horizontal="center" vertical="center" wrapText="1"/>
    </xf>
    <xf numFmtId="1" fontId="63" fillId="0" borderId="45" xfId="0" applyNumberFormat="1" applyFont="1" applyBorder="1" applyAlignment="1">
      <alignment horizontal="center" vertical="center" wrapText="1"/>
    </xf>
    <xf numFmtId="1" fontId="63" fillId="0" borderId="36" xfId="0" applyNumberFormat="1" applyFont="1" applyBorder="1" applyAlignment="1">
      <alignment horizontal="center" vertical="center" wrapText="1"/>
    </xf>
    <xf numFmtId="1" fontId="66" fillId="2" borderId="36" xfId="0" applyNumberFormat="1" applyFont="1" applyFill="1" applyBorder="1" applyAlignment="1">
      <alignment horizontal="center" vertical="center" wrapText="1"/>
    </xf>
    <xf numFmtId="1" fontId="67" fillId="6" borderId="33" xfId="0" applyNumberFormat="1" applyFont="1" applyFill="1" applyBorder="1" applyAlignment="1">
      <alignment horizontal="center" vertical="center" wrapText="1"/>
    </xf>
    <xf numFmtId="1" fontId="66" fillId="6" borderId="33" xfId="0" applyNumberFormat="1" applyFont="1" applyFill="1" applyBorder="1" applyAlignment="1">
      <alignment horizontal="center" vertical="center" wrapText="1"/>
    </xf>
    <xf numFmtId="1" fontId="63" fillId="0" borderId="62" xfId="0" applyNumberFormat="1" applyFont="1" applyBorder="1" applyAlignment="1">
      <alignment horizontal="center" vertical="center" wrapText="1"/>
    </xf>
    <xf numFmtId="0" fontId="9" fillId="8" borderId="7" xfId="2" applyFont="1" applyFill="1" applyBorder="1" applyAlignment="1">
      <alignment horizontal="center" vertical="center" wrapText="1"/>
    </xf>
    <xf numFmtId="172" fontId="63" fillId="0" borderId="33" xfId="3" applyNumberFormat="1" applyFont="1" applyFill="1" applyBorder="1" applyAlignment="1">
      <alignment horizontal="center" vertical="center" wrapText="1"/>
    </xf>
    <xf numFmtId="3" fontId="63" fillId="0" borderId="49" xfId="0" applyNumberFormat="1" applyFont="1" applyBorder="1" applyAlignment="1">
      <alignment horizontal="center" vertical="center" wrapText="1"/>
    </xf>
    <xf numFmtId="9" fontId="63" fillId="0" borderId="0" xfId="3" applyFont="1" applyFill="1" applyAlignment="1">
      <alignment horizontal="center" vertical="center" wrapText="1"/>
    </xf>
    <xf numFmtId="3" fontId="63" fillId="0" borderId="36" xfId="0" applyNumberFormat="1" applyFont="1" applyBorder="1" applyAlignment="1">
      <alignment horizontal="center" vertical="center" wrapText="1"/>
    </xf>
    <xf numFmtId="170" fontId="63" fillId="0" borderId="33" xfId="3" applyNumberFormat="1" applyFont="1" applyFill="1" applyBorder="1" applyAlignment="1">
      <alignment horizontal="center" vertical="center" wrapText="1"/>
    </xf>
    <xf numFmtId="168" fontId="42" fillId="0" borderId="44" xfId="0" applyNumberFormat="1" applyFont="1" applyBorder="1" applyAlignment="1">
      <alignment horizontal="center" vertical="center" wrapText="1"/>
    </xf>
    <xf numFmtId="168" fontId="23" fillId="0" borderId="36" xfId="0" applyNumberFormat="1" applyFont="1" applyBorder="1" applyAlignment="1">
      <alignment horizontal="center" vertical="center" wrapText="1"/>
    </xf>
    <xf numFmtId="168" fontId="23" fillId="16" borderId="22" xfId="0" applyNumberFormat="1" applyFont="1" applyFill="1" applyBorder="1" applyAlignment="1">
      <alignment horizontal="center" vertical="center" wrapText="1"/>
    </xf>
    <xf numFmtId="168" fontId="23" fillId="0" borderId="0" xfId="0" applyNumberFormat="1" applyFont="1" applyAlignment="1">
      <alignment horizontal="center" vertical="center" wrapText="1"/>
    </xf>
    <xf numFmtId="168" fontId="63" fillId="0" borderId="45" xfId="0" applyNumberFormat="1" applyFont="1" applyBorder="1" applyAlignment="1">
      <alignment horizontal="center" vertical="center" wrapText="1"/>
    </xf>
    <xf numFmtId="168" fontId="63" fillId="0" borderId="33" xfId="0" applyNumberFormat="1" applyFont="1" applyBorder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 wrapText="1"/>
    </xf>
    <xf numFmtId="168" fontId="66" fillId="2" borderId="33" xfId="0" applyNumberFormat="1" applyFont="1" applyFill="1" applyBorder="1" applyAlignment="1">
      <alignment horizontal="center" vertical="center" wrapText="1"/>
    </xf>
    <xf numFmtId="9" fontId="24" fillId="0" borderId="0" xfId="3" applyFont="1" applyFill="1" applyAlignment="1">
      <alignment horizontal="center" vertical="center" wrapText="1"/>
    </xf>
    <xf numFmtId="9" fontId="0" fillId="0" borderId="0" xfId="3" applyFont="1" applyFill="1" applyAlignment="1">
      <alignment horizontal="center" vertical="center" wrapText="1"/>
    </xf>
    <xf numFmtId="171" fontId="53" fillId="0" borderId="0" xfId="0" applyNumberFormat="1" applyFont="1" applyAlignment="1">
      <alignment horizontal="center" vertical="center" wrapText="1"/>
    </xf>
    <xf numFmtId="168" fontId="66" fillId="6" borderId="33" xfId="0" applyNumberFormat="1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171" fontId="17" fillId="0" borderId="0" xfId="0" applyNumberFormat="1" applyFont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9" fontId="16" fillId="0" borderId="0" xfId="3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17" fillId="4" borderId="75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/>
    </xf>
    <xf numFmtId="3" fontId="34" fillId="4" borderId="24" xfId="0" applyNumberFormat="1" applyFont="1" applyFill="1" applyBorder="1" applyAlignment="1">
      <alignment horizontal="center" vertical="center"/>
    </xf>
    <xf numFmtId="2" fontId="34" fillId="4" borderId="77" xfId="0" applyNumberFormat="1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25" xfId="0" applyNumberFormat="1" applyFill="1" applyBorder="1" applyAlignment="1">
      <alignment horizontal="center" vertical="center"/>
    </xf>
    <xf numFmtId="2" fontId="17" fillId="4" borderId="25" xfId="0" applyNumberFormat="1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33" fillId="4" borderId="25" xfId="0" applyNumberFormat="1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2" fontId="1" fillId="4" borderId="2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9" fontId="1" fillId="3" borderId="76" xfId="3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50" fillId="4" borderId="24" xfId="0" applyFont="1" applyFill="1" applyBorder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49" fillId="4" borderId="0" xfId="0" applyFont="1" applyFill="1" applyAlignment="1">
      <alignment horizontal="center" vertical="center"/>
    </xf>
    <xf numFmtId="0" fontId="51" fillId="4" borderId="24" xfId="0" applyFont="1" applyFill="1" applyBorder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2" fillId="4" borderId="24" xfId="0" applyFont="1" applyFill="1" applyBorder="1" applyAlignment="1">
      <alignment horizontal="center" vertical="center"/>
    </xf>
    <xf numFmtId="20" fontId="26" fillId="4" borderId="0" xfId="0" applyNumberFormat="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3" fontId="5" fillId="4" borderId="16" xfId="0" applyNumberFormat="1" applyFont="1" applyFill="1" applyBorder="1" applyAlignment="1">
      <alignment horizontal="center" vertical="center"/>
    </xf>
    <xf numFmtId="0" fontId="35" fillId="4" borderId="0" xfId="0" applyFont="1" applyFill="1" applyAlignment="1">
      <alignment horizontal="center" vertical="center" wrapText="1"/>
    </xf>
    <xf numFmtId="0" fontId="74" fillId="4" borderId="24" xfId="0" applyFont="1" applyFill="1" applyBorder="1" applyAlignment="1">
      <alignment horizontal="center" vertical="center" wrapText="1"/>
    </xf>
    <xf numFmtId="0" fontId="74" fillId="4" borderId="0" xfId="0" applyFont="1" applyFill="1" applyAlignment="1">
      <alignment horizontal="center" vertical="center" wrapText="1"/>
    </xf>
    <xf numFmtId="0" fontId="74" fillId="4" borderId="25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75" fillId="0" borderId="0" xfId="0" applyFont="1" applyAlignment="1">
      <alignment horizontal="center" vertical="center"/>
    </xf>
    <xf numFmtId="0" fontId="76" fillId="9" borderId="0" xfId="0" applyFont="1" applyFill="1" applyAlignment="1">
      <alignment horizontal="center" vertical="center" wrapText="1"/>
    </xf>
    <xf numFmtId="0" fontId="58" fillId="8" borderId="7" xfId="2" applyFont="1" applyFill="1" applyBorder="1" applyAlignment="1">
      <alignment horizontal="center" vertical="center" wrapText="1"/>
    </xf>
    <xf numFmtId="0" fontId="58" fillId="8" borderId="8" xfId="2" applyFont="1" applyFill="1" applyBorder="1" applyAlignment="1">
      <alignment horizontal="center" vertical="center" wrapText="1"/>
    </xf>
    <xf numFmtId="0" fontId="77" fillId="10" borderId="9" xfId="2" applyFont="1" applyFill="1" applyBorder="1" applyAlignment="1">
      <alignment horizontal="center" vertical="center" wrapText="1"/>
    </xf>
    <xf numFmtId="0" fontId="77" fillId="9" borderId="6" xfId="1" applyFont="1" applyFill="1" applyBorder="1" applyAlignment="1">
      <alignment horizontal="center" vertical="center" wrapText="1"/>
    </xf>
    <xf numFmtId="0" fontId="77" fillId="9" borderId="10" xfId="1" applyFont="1" applyFill="1" applyBorder="1" applyAlignment="1">
      <alignment horizontal="center" vertical="center" wrapText="1"/>
    </xf>
    <xf numFmtId="0" fontId="77" fillId="10" borderId="56" xfId="2" applyFont="1" applyFill="1" applyBorder="1" applyAlignment="1">
      <alignment horizontal="center" vertical="center" wrapText="1"/>
    </xf>
    <xf numFmtId="0" fontId="18" fillId="9" borderId="7" xfId="2" applyFont="1" applyFill="1" applyBorder="1" applyAlignment="1">
      <alignment horizontal="center" vertical="center" wrapText="1"/>
    </xf>
    <xf numFmtId="0" fontId="18" fillId="9" borderId="8" xfId="1" applyFont="1" applyFill="1" applyBorder="1" applyAlignment="1">
      <alignment horizontal="center" vertical="center" wrapText="1"/>
    </xf>
    <xf numFmtId="0" fontId="18" fillId="9" borderId="9" xfId="2" applyFont="1" applyFill="1" applyBorder="1" applyAlignment="1">
      <alignment horizontal="center" vertical="center" wrapText="1"/>
    </xf>
    <xf numFmtId="0" fontId="18" fillId="9" borderId="6" xfId="1" applyFont="1" applyFill="1" applyBorder="1" applyAlignment="1">
      <alignment horizontal="center" vertical="center" wrapText="1"/>
    </xf>
    <xf numFmtId="0" fontId="18" fillId="9" borderId="57" xfId="2" applyFont="1" applyFill="1" applyBorder="1" applyAlignment="1">
      <alignment horizontal="center" vertical="center" wrapText="1"/>
    </xf>
    <xf numFmtId="0" fontId="18" fillId="9" borderId="58" xfId="1" applyFont="1" applyFill="1" applyBorder="1" applyAlignment="1">
      <alignment horizontal="center" vertical="center" wrapText="1"/>
    </xf>
    <xf numFmtId="16" fontId="58" fillId="2" borderId="0" xfId="0" applyNumberFormat="1" applyFont="1" applyFill="1" applyAlignment="1">
      <alignment horizontal="center"/>
    </xf>
    <xf numFmtId="0" fontId="78" fillId="0" borderId="0" xfId="0" applyFont="1" applyAlignment="1">
      <alignment horizontal="center"/>
    </xf>
    <xf numFmtId="0" fontId="77" fillId="9" borderId="6" xfId="2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77" fillId="9" borderId="10" xfId="2" applyFont="1" applyFill="1" applyBorder="1" applyAlignment="1">
      <alignment horizontal="center" vertical="center" wrapText="1"/>
    </xf>
    <xf numFmtId="0" fontId="18" fillId="9" borderId="8" xfId="2" applyFont="1" applyFill="1" applyBorder="1" applyAlignment="1">
      <alignment horizontal="center" vertical="center" wrapText="1"/>
    </xf>
    <xf numFmtId="0" fontId="18" fillId="9" borderId="6" xfId="2" applyFont="1" applyFill="1" applyBorder="1" applyAlignment="1">
      <alignment horizontal="center" vertical="center" wrapText="1"/>
    </xf>
    <xf numFmtId="0" fontId="18" fillId="9" borderId="58" xfId="2" applyFont="1" applyFill="1" applyBorder="1" applyAlignment="1">
      <alignment horizontal="center" vertical="center" wrapText="1"/>
    </xf>
    <xf numFmtId="0" fontId="58" fillId="6" borderId="0" xfId="0" applyFont="1" applyFill="1" applyAlignment="1">
      <alignment horizontal="center"/>
    </xf>
    <xf numFmtId="16" fontId="31" fillId="2" borderId="0" xfId="0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0" fontId="31" fillId="6" borderId="0" xfId="0" applyFont="1" applyFill="1" applyAlignment="1">
      <alignment horizontal="center"/>
    </xf>
    <xf numFmtId="0" fontId="18" fillId="0" borderId="0" xfId="2" applyFont="1" applyFill="1" applyBorder="1" applyAlignment="1">
      <alignment horizontal="center" vertical="center" wrapText="1"/>
    </xf>
    <xf numFmtId="0" fontId="18" fillId="0" borderId="0" xfId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1" fontId="1" fillId="3" borderId="1" xfId="0" applyNumberFormat="1" applyFont="1" applyFill="1" applyBorder="1" applyAlignment="1">
      <alignment horizontal="center" vertical="center"/>
    </xf>
    <xf numFmtId="3" fontId="69" fillId="19" borderId="70" xfId="0" applyNumberFormat="1" applyFont="1" applyFill="1" applyBorder="1" applyAlignment="1">
      <alignment horizontal="center" vertical="center" wrapText="1"/>
    </xf>
    <xf numFmtId="14" fontId="41" fillId="2" borderId="38" xfId="0" applyNumberFormat="1" applyFont="1" applyFill="1" applyBorder="1" applyAlignment="1">
      <alignment horizontal="center" vertical="center"/>
    </xf>
    <xf numFmtId="3" fontId="63" fillId="10" borderId="0" xfId="0" applyNumberFormat="1" applyFont="1" applyFill="1" applyAlignment="1">
      <alignment horizontal="center" vertical="center" wrapText="1"/>
    </xf>
    <xf numFmtId="9" fontId="63" fillId="10" borderId="0" xfId="3" applyFont="1" applyFill="1" applyAlignment="1">
      <alignment horizontal="center" vertical="center" wrapText="1"/>
    </xf>
    <xf numFmtId="9" fontId="1" fillId="0" borderId="0" xfId="3" applyFont="1" applyAlignment="1">
      <alignment horizontal="center" vertical="center" wrapText="1"/>
    </xf>
    <xf numFmtId="0" fontId="63" fillId="0" borderId="0" xfId="2" applyFont="1" applyFill="1" applyBorder="1" applyAlignment="1">
      <alignment horizontal="center" vertical="center" wrapText="1"/>
    </xf>
    <xf numFmtId="3" fontId="29" fillId="0" borderId="29" xfId="0" applyNumberFormat="1" applyFont="1" applyBorder="1" applyAlignment="1">
      <alignment horizontal="center" vertical="center" wrapText="1"/>
    </xf>
    <xf numFmtId="0" fontId="79" fillId="6" borderId="18" xfId="0" applyFont="1" applyFill="1" applyBorder="1" applyAlignment="1">
      <alignment horizontal="center" vertical="center" wrapText="1"/>
    </xf>
    <xf numFmtId="3" fontId="79" fillId="6" borderId="18" xfId="0" applyNumberFormat="1" applyFont="1" applyFill="1" applyBorder="1" applyAlignment="1">
      <alignment horizontal="center" vertical="center" wrapText="1"/>
    </xf>
    <xf numFmtId="169" fontId="79" fillId="6" borderId="18" xfId="0" applyNumberFormat="1" applyFont="1" applyFill="1" applyBorder="1" applyAlignment="1">
      <alignment horizontal="center" vertical="center" wrapText="1"/>
    </xf>
    <xf numFmtId="0" fontId="79" fillId="2" borderId="18" xfId="0" applyFont="1" applyFill="1" applyBorder="1" applyAlignment="1">
      <alignment horizontal="center" vertical="center" wrapText="1"/>
    </xf>
    <xf numFmtId="3" fontId="79" fillId="2" borderId="18" xfId="0" applyNumberFormat="1" applyFont="1" applyFill="1" applyBorder="1" applyAlignment="1">
      <alignment horizontal="center" vertical="center" wrapText="1"/>
    </xf>
    <xf numFmtId="169" fontId="79" fillId="2" borderId="18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171" fontId="22" fillId="2" borderId="0" xfId="0" applyNumberFormat="1" applyFont="1" applyFill="1" applyAlignment="1">
      <alignment horizontal="center" vertical="center" wrapText="1"/>
    </xf>
    <xf numFmtId="171" fontId="26" fillId="0" borderId="0" xfId="0" applyNumberFormat="1" applyFont="1" applyAlignment="1">
      <alignment horizontal="center" vertical="center" wrapText="1"/>
    </xf>
    <xf numFmtId="4" fontId="69" fillId="19" borderId="73" xfId="0" applyNumberFormat="1" applyFont="1" applyFill="1" applyBorder="1" applyAlignment="1">
      <alignment horizontal="center" vertical="center" wrapText="1"/>
    </xf>
    <xf numFmtId="171" fontId="83" fillId="0" borderId="66" xfId="0" applyNumberFormat="1" applyFont="1" applyBorder="1" applyAlignment="1">
      <alignment horizontal="center" vertical="center" wrapText="1"/>
    </xf>
    <xf numFmtId="3" fontId="83" fillId="0" borderId="66" xfId="0" applyNumberFormat="1" applyFont="1" applyBorder="1" applyAlignment="1">
      <alignment horizontal="center" vertical="center" wrapText="1"/>
    </xf>
    <xf numFmtId="171" fontId="53" fillId="0" borderId="67" xfId="0" applyNumberFormat="1" applyFont="1" applyBorder="1" applyAlignment="1">
      <alignment horizontal="center" vertical="center" wrapText="1"/>
    </xf>
    <xf numFmtId="171" fontId="69" fillId="19" borderId="73" xfId="0" applyNumberFormat="1" applyFont="1" applyFill="1" applyBorder="1" applyAlignment="1">
      <alignment horizontal="center" vertical="center" wrapText="1"/>
    </xf>
    <xf numFmtId="0" fontId="24" fillId="0" borderId="79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9" fontId="63" fillId="0" borderId="60" xfId="3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3" fontId="32" fillId="2" borderId="21" xfId="0" applyNumberFormat="1" applyFont="1" applyFill="1" applyBorder="1" applyAlignment="1">
      <alignment horizontal="center" vertical="center" wrapText="1"/>
    </xf>
    <xf numFmtId="169" fontId="32" fillId="2" borderId="21" xfId="0" applyNumberFormat="1" applyFont="1" applyFill="1" applyBorder="1" applyAlignment="1">
      <alignment horizontal="center" vertical="center" wrapText="1"/>
    </xf>
    <xf numFmtId="0" fontId="32" fillId="2" borderId="71" xfId="0" applyFont="1" applyFill="1" applyBorder="1" applyAlignment="1">
      <alignment horizontal="center" vertical="center" wrapText="1"/>
    </xf>
    <xf numFmtId="3" fontId="32" fillId="2" borderId="71" xfId="0" applyNumberFormat="1" applyFont="1" applyFill="1" applyBorder="1" applyAlignment="1">
      <alignment horizontal="center" vertical="center" wrapText="1"/>
    </xf>
    <xf numFmtId="169" fontId="32" fillId="2" borderId="71" xfId="0" applyNumberFormat="1" applyFont="1" applyFill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3" fontId="26" fillId="0" borderId="17" xfId="0" applyNumberFormat="1" applyFont="1" applyBorder="1" applyAlignment="1">
      <alignment horizontal="center" vertical="center" wrapText="1"/>
    </xf>
    <xf numFmtId="169" fontId="26" fillId="0" borderId="17" xfId="0" applyNumberFormat="1" applyFont="1" applyBorder="1" applyAlignment="1">
      <alignment horizontal="center" vertical="center" wrapText="1"/>
    </xf>
    <xf numFmtId="0" fontId="26" fillId="0" borderId="83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169" fontId="26" fillId="0" borderId="23" xfId="0" applyNumberFormat="1" applyFont="1" applyBorder="1" applyAlignment="1">
      <alignment horizontal="center" vertical="center" wrapText="1"/>
    </xf>
    <xf numFmtId="0" fontId="26" fillId="0" borderId="84" xfId="0" applyFont="1" applyBorder="1" applyAlignment="1">
      <alignment horizontal="center" vertical="center" wrapText="1"/>
    </xf>
    <xf numFmtId="16" fontId="20" fillId="0" borderId="0" xfId="0" applyNumberFormat="1" applyFont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16" fontId="76" fillId="0" borderId="0" xfId="0" applyNumberFormat="1" applyFont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9" fontId="1" fillId="0" borderId="0" xfId="3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9" fillId="8" borderId="8" xfId="2" applyFont="1" applyFill="1" applyBorder="1" applyAlignment="1">
      <alignment horizontal="left" vertical="center" wrapText="1"/>
    </xf>
    <xf numFmtId="3" fontId="0" fillId="0" borderId="17" xfId="0" applyNumberFormat="1" applyBorder="1" applyAlignment="1">
      <alignment horizontal="center" vertical="center" wrapText="1"/>
    </xf>
    <xf numFmtId="171" fontId="1" fillId="0" borderId="17" xfId="0" applyNumberFormat="1" applyFon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 vertical="center" wrapText="1"/>
    </xf>
    <xf numFmtId="171" fontId="1" fillId="0" borderId="18" xfId="0" applyNumberFormat="1" applyFont="1" applyBorder="1" applyAlignment="1">
      <alignment horizontal="center" vertical="center" wrapText="1"/>
    </xf>
    <xf numFmtId="3" fontId="76" fillId="18" borderId="18" xfId="0" applyNumberFormat="1" applyFont="1" applyFill="1" applyBorder="1" applyAlignment="1">
      <alignment horizontal="center" vertical="center" wrapText="1"/>
    </xf>
    <xf numFmtId="9" fontId="76" fillId="18" borderId="18" xfId="3" applyFont="1" applyFill="1" applyBorder="1" applyAlignment="1">
      <alignment horizontal="center" vertical="center" wrapText="1"/>
    </xf>
    <xf numFmtId="3" fontId="0" fillId="0" borderId="21" xfId="0" applyNumberFormat="1" applyBorder="1" applyAlignment="1">
      <alignment horizontal="center" vertical="center" wrapText="1"/>
    </xf>
    <xf numFmtId="171" fontId="1" fillId="0" borderId="21" xfId="0" applyNumberFormat="1" applyFont="1" applyBorder="1" applyAlignment="1">
      <alignment horizontal="center" vertical="center" wrapText="1"/>
    </xf>
    <xf numFmtId="9" fontId="76" fillId="20" borderId="21" xfId="3" applyFont="1" applyFill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171" fontId="1" fillId="0" borderId="11" xfId="0" applyNumberFormat="1" applyFont="1" applyBorder="1" applyAlignment="1">
      <alignment horizontal="center" vertical="center" wrapText="1"/>
    </xf>
    <xf numFmtId="9" fontId="76" fillId="0" borderId="71" xfId="3" applyFont="1" applyFill="1" applyBorder="1" applyAlignment="1">
      <alignment horizontal="center" vertical="center" wrapText="1"/>
    </xf>
    <xf numFmtId="9" fontId="76" fillId="0" borderId="29" xfId="3" applyFont="1" applyFill="1" applyBorder="1" applyAlignment="1">
      <alignment horizontal="center" vertical="center" wrapText="1"/>
    </xf>
    <xf numFmtId="9" fontId="76" fillId="0" borderId="72" xfId="3" applyFont="1" applyFill="1" applyBorder="1" applyAlignment="1">
      <alignment horizontal="center" vertical="center" wrapText="1"/>
    </xf>
    <xf numFmtId="9" fontId="76" fillId="18" borderId="27" xfId="3" applyFont="1" applyFill="1" applyBorder="1" applyAlignment="1">
      <alignment horizontal="center" vertical="center" wrapText="1"/>
    </xf>
    <xf numFmtId="3" fontId="76" fillId="20" borderId="26" xfId="3" applyNumberFormat="1" applyFont="1" applyFill="1" applyBorder="1" applyAlignment="1">
      <alignment horizontal="center" vertical="center" wrapText="1"/>
    </xf>
    <xf numFmtId="3" fontId="75" fillId="0" borderId="28" xfId="0" applyNumberFormat="1" applyFont="1" applyBorder="1" applyAlignment="1">
      <alignment horizontal="center" vertical="center" wrapText="1"/>
    </xf>
    <xf numFmtId="9" fontId="75" fillId="0" borderId="28" xfId="3" applyFont="1" applyFill="1" applyBorder="1" applyAlignment="1">
      <alignment horizontal="center" vertical="center" wrapText="1"/>
    </xf>
    <xf numFmtId="3" fontId="75" fillId="0" borderId="86" xfId="0" applyNumberFormat="1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3" fontId="53" fillId="0" borderId="0" xfId="0" applyNumberFormat="1" applyFont="1" applyAlignment="1">
      <alignment horizontal="center" vertical="center" wrapText="1"/>
    </xf>
    <xf numFmtId="3" fontId="69" fillId="6" borderId="69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" fontId="85" fillId="0" borderId="0" xfId="0" applyNumberFormat="1" applyFont="1" applyAlignment="1">
      <alignment horizontal="center" vertical="center" wrapText="1"/>
    </xf>
    <xf numFmtId="3" fontId="63" fillId="0" borderId="0" xfId="0" applyNumberFormat="1" applyFont="1" applyAlignment="1">
      <alignment horizontal="center" vertical="center" wrapText="1"/>
    </xf>
    <xf numFmtId="3" fontId="24" fillId="0" borderId="18" xfId="0" applyNumberFormat="1" applyFont="1" applyBorder="1" applyAlignment="1">
      <alignment horizontal="center" vertical="center" wrapText="1"/>
    </xf>
    <xf numFmtId="0" fontId="24" fillId="9" borderId="21" xfId="0" applyFont="1" applyFill="1" applyBorder="1" applyAlignment="1">
      <alignment horizontal="center" vertical="center" wrapText="1"/>
    </xf>
    <xf numFmtId="3" fontId="24" fillId="9" borderId="21" xfId="0" applyNumberFormat="1" applyFont="1" applyFill="1" applyBorder="1" applyAlignment="1">
      <alignment horizontal="center" vertical="center" wrapText="1"/>
    </xf>
    <xf numFmtId="0" fontId="24" fillId="9" borderId="17" xfId="0" applyFont="1" applyFill="1" applyBorder="1" applyAlignment="1">
      <alignment horizontal="center" vertical="center" wrapText="1"/>
    </xf>
    <xf numFmtId="0" fontId="24" fillId="9" borderId="18" xfId="0" applyFont="1" applyFill="1" applyBorder="1" applyAlignment="1">
      <alignment horizontal="center" vertical="center" wrapText="1"/>
    </xf>
    <xf numFmtId="0" fontId="21" fillId="10" borderId="17" xfId="2" applyFont="1" applyFill="1" applyBorder="1" applyAlignment="1">
      <alignment horizontal="center" vertical="center" wrapText="1"/>
    </xf>
    <xf numFmtId="0" fontId="21" fillId="10" borderId="18" xfId="2" applyFont="1" applyFill="1" applyBorder="1" applyAlignment="1">
      <alignment horizontal="center" vertical="center" wrapText="1"/>
    </xf>
    <xf numFmtId="0" fontId="21" fillId="0" borderId="23" xfId="2" applyFont="1" applyFill="1" applyBorder="1" applyAlignment="1">
      <alignment horizontal="center" vertical="center" wrapText="1"/>
    </xf>
    <xf numFmtId="9" fontId="21" fillId="0" borderId="0" xfId="3" applyFont="1" applyFill="1" applyAlignment="1">
      <alignment horizontal="center" vertical="center" wrapText="1"/>
    </xf>
    <xf numFmtId="9" fontId="62" fillId="0" borderId="0" xfId="3" applyFont="1" applyAlignment="1">
      <alignment horizontal="center" vertical="center" wrapText="1"/>
    </xf>
    <xf numFmtId="9" fontId="86" fillId="0" borderId="0" xfId="3" applyFont="1" applyAlignment="1">
      <alignment horizontal="center" vertical="center" wrapText="1"/>
    </xf>
    <xf numFmtId="0" fontId="10" fillId="22" borderId="6" xfId="2" applyFont="1" applyFill="1" applyBorder="1" applyAlignment="1">
      <alignment horizontal="left" vertical="center" wrapText="1"/>
    </xf>
    <xf numFmtId="0" fontId="10" fillId="22" borderId="6" xfId="1" applyFont="1" applyFill="1" applyBorder="1" applyAlignment="1">
      <alignment horizontal="center" vertical="center" wrapText="1"/>
    </xf>
    <xf numFmtId="0" fontId="10" fillId="22" borderId="10" xfId="2" applyFont="1" applyFill="1" applyBorder="1" applyAlignment="1">
      <alignment horizontal="left" vertical="center" wrapText="1"/>
    </xf>
    <xf numFmtId="0" fontId="10" fillId="22" borderId="10" xfId="1" applyFont="1" applyFill="1" applyBorder="1" applyAlignment="1">
      <alignment horizontal="center" vertical="center" wrapText="1"/>
    </xf>
    <xf numFmtId="0" fontId="9" fillId="23" borderId="8" xfId="2" applyFont="1" applyFill="1" applyBorder="1" applyAlignment="1">
      <alignment horizontal="left" vertical="center" wrapText="1"/>
    </xf>
    <xf numFmtId="0" fontId="9" fillId="23" borderId="8" xfId="1" applyFont="1" applyFill="1" applyBorder="1" applyAlignment="1">
      <alignment horizontal="center" vertical="center" wrapText="1"/>
    </xf>
    <xf numFmtId="0" fontId="9" fillId="23" borderId="6" xfId="2" applyFont="1" applyFill="1" applyBorder="1" applyAlignment="1">
      <alignment horizontal="left" vertical="center" wrapText="1"/>
    </xf>
    <xf numFmtId="0" fontId="9" fillId="23" borderId="6" xfId="1" applyFont="1" applyFill="1" applyBorder="1" applyAlignment="1">
      <alignment horizontal="center" vertical="center" wrapText="1"/>
    </xf>
    <xf numFmtId="0" fontId="9" fillId="23" borderId="78" xfId="2" applyFont="1" applyFill="1" applyBorder="1" applyAlignment="1">
      <alignment horizontal="left" vertical="center" wrapText="1"/>
    </xf>
    <xf numFmtId="0" fontId="9" fillId="23" borderId="78" xfId="1" applyFont="1" applyFill="1" applyBorder="1" applyAlignment="1">
      <alignment horizontal="center" vertical="center" wrapText="1"/>
    </xf>
    <xf numFmtId="0" fontId="9" fillId="23" borderId="58" xfId="2" applyFont="1" applyFill="1" applyBorder="1" applyAlignment="1">
      <alignment horizontal="left" vertical="center" wrapText="1"/>
    </xf>
    <xf numFmtId="0" fontId="9" fillId="23" borderId="58" xfId="1" applyFont="1" applyFill="1" applyBorder="1" applyAlignment="1">
      <alignment horizontal="center" vertical="center" wrapText="1"/>
    </xf>
    <xf numFmtId="0" fontId="63" fillId="0" borderId="60" xfId="0" applyFont="1" applyBorder="1" applyAlignment="1">
      <alignment horizontal="center" vertical="center" wrapText="1"/>
    </xf>
    <xf numFmtId="168" fontId="84" fillId="0" borderId="33" xfId="0" applyNumberFormat="1" applyFont="1" applyBorder="1" applyAlignment="1">
      <alignment horizontal="center" vertical="center" wrapText="1"/>
    </xf>
    <xf numFmtId="3" fontId="21" fillId="0" borderId="33" xfId="0" applyNumberFormat="1" applyFont="1" applyBorder="1" applyAlignment="1">
      <alignment horizontal="center" vertical="center" wrapText="1"/>
    </xf>
    <xf numFmtId="4" fontId="63" fillId="0" borderId="81" xfId="0" applyNumberFormat="1" applyFont="1" applyBorder="1" applyAlignment="1">
      <alignment horizontal="center" vertical="center" wrapText="1"/>
    </xf>
    <xf numFmtId="0" fontId="64" fillId="0" borderId="35" xfId="0" applyFont="1" applyBorder="1" applyAlignment="1">
      <alignment horizontal="center" vertical="center" wrapText="1"/>
    </xf>
    <xf numFmtId="168" fontId="84" fillId="0" borderId="45" xfId="0" applyNumberFormat="1" applyFont="1" applyBorder="1" applyAlignment="1">
      <alignment horizontal="center" vertical="center" wrapText="1"/>
    </xf>
    <xf numFmtId="172" fontId="63" fillId="0" borderId="45" xfId="3" applyNumberFormat="1" applyFont="1" applyFill="1" applyBorder="1" applyAlignment="1">
      <alignment horizontal="center" vertical="center" wrapText="1"/>
    </xf>
    <xf numFmtId="4" fontId="63" fillId="0" borderId="80" xfId="0" applyNumberFormat="1" applyFont="1" applyBorder="1" applyAlignment="1">
      <alignment horizontal="center" vertical="center" wrapText="1"/>
    </xf>
    <xf numFmtId="170" fontId="63" fillId="0" borderId="45" xfId="3" applyNumberFormat="1" applyFont="1" applyFill="1" applyBorder="1" applyAlignment="1">
      <alignment horizontal="center" vertical="center" wrapText="1"/>
    </xf>
    <xf numFmtId="170" fontId="26" fillId="0" borderId="34" xfId="3" applyNumberFormat="1" applyFont="1" applyFill="1" applyBorder="1" applyAlignment="1">
      <alignment horizontal="center" vertical="center" wrapText="1"/>
    </xf>
    <xf numFmtId="168" fontId="71" fillId="6" borderId="33" xfId="0" applyNumberFormat="1" applyFont="1" applyFill="1" applyBorder="1" applyAlignment="1">
      <alignment horizontal="center" vertical="center" wrapText="1"/>
    </xf>
    <xf numFmtId="3" fontId="69" fillId="6" borderId="36" xfId="0" applyNumberFormat="1" applyFont="1" applyFill="1" applyBorder="1" applyAlignment="1">
      <alignment horizontal="center" vertical="center" wrapText="1"/>
    </xf>
    <xf numFmtId="3" fontId="69" fillId="6" borderId="33" xfId="0" applyNumberFormat="1" applyFont="1" applyFill="1" applyBorder="1" applyAlignment="1">
      <alignment horizontal="center" vertical="center" wrapText="1"/>
    </xf>
    <xf numFmtId="9" fontId="69" fillId="6" borderId="0" xfId="3" applyFont="1" applyFill="1" applyAlignment="1">
      <alignment horizontal="center" vertical="center" wrapText="1"/>
    </xf>
    <xf numFmtId="2" fontId="66" fillId="6" borderId="33" xfId="0" applyNumberFormat="1" applyFont="1" applyFill="1" applyBorder="1" applyAlignment="1">
      <alignment horizontal="center" vertical="center" wrapText="1"/>
    </xf>
    <xf numFmtId="170" fontId="66" fillId="6" borderId="33" xfId="3" applyNumberFormat="1" applyFont="1" applyFill="1" applyBorder="1" applyAlignment="1">
      <alignment horizontal="center" vertical="center" wrapText="1"/>
    </xf>
    <xf numFmtId="171" fontId="1" fillId="0" borderId="19" xfId="0" applyNumberFormat="1" applyFont="1" applyBorder="1" applyAlignment="1">
      <alignment horizontal="center" vertical="center" textRotation="180" wrapText="1"/>
    </xf>
    <xf numFmtId="171" fontId="21" fillId="0" borderId="70" xfId="0" applyNumberFormat="1" applyFont="1" applyBorder="1" applyAlignment="1">
      <alignment horizontal="center" vertical="center" wrapText="1"/>
    </xf>
    <xf numFmtId="4" fontId="21" fillId="0" borderId="66" xfId="0" applyNumberFormat="1" applyFont="1" applyBorder="1" applyAlignment="1">
      <alignment horizontal="center" vertical="center" wrapText="1"/>
    </xf>
    <xf numFmtId="4" fontId="69" fillId="6" borderId="69" xfId="0" applyNumberFormat="1" applyFont="1" applyFill="1" applyBorder="1" applyAlignment="1">
      <alignment horizontal="center" vertical="center" wrapText="1"/>
    </xf>
    <xf numFmtId="171" fontId="29" fillId="0" borderId="0" xfId="0" applyNumberFormat="1" applyFont="1" applyAlignment="1">
      <alignment horizontal="center" vertical="center" wrapText="1"/>
    </xf>
    <xf numFmtId="3" fontId="21" fillId="0" borderId="70" xfId="0" applyNumberFormat="1" applyFont="1" applyBorder="1" applyAlignment="1">
      <alignment horizontal="center" vertical="center" wrapText="1"/>
    </xf>
    <xf numFmtId="3" fontId="22" fillId="6" borderId="18" xfId="0" applyNumberFormat="1" applyFont="1" applyFill="1" applyBorder="1" applyAlignment="1">
      <alignment horizontal="center" vertical="center" wrapText="1"/>
    </xf>
    <xf numFmtId="49" fontId="22" fillId="6" borderId="18" xfId="0" applyNumberFormat="1" applyFont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9" fontId="26" fillId="0" borderId="0" xfId="3" applyFont="1" applyFill="1" applyBorder="1" applyAlignment="1">
      <alignment horizontal="center" vertical="center" wrapText="1"/>
    </xf>
    <xf numFmtId="4" fontId="63" fillId="0" borderId="45" xfId="0" applyNumberFormat="1" applyFont="1" applyBorder="1" applyAlignment="1">
      <alignment horizontal="center" vertical="center" wrapText="1"/>
    </xf>
    <xf numFmtId="4" fontId="63" fillId="0" borderId="33" xfId="0" applyNumberFormat="1" applyFont="1" applyBorder="1" applyAlignment="1">
      <alignment horizontal="center" vertical="center" wrapText="1"/>
    </xf>
    <xf numFmtId="4" fontId="21" fillId="0" borderId="33" xfId="0" applyNumberFormat="1" applyFont="1" applyBorder="1" applyAlignment="1">
      <alignment horizontal="center" vertical="center" wrapText="1"/>
    </xf>
    <xf numFmtId="4" fontId="69" fillId="6" borderId="33" xfId="0" applyNumberFormat="1" applyFont="1" applyFill="1" applyBorder="1" applyAlignment="1">
      <alignment horizontal="center" vertical="center" wrapText="1"/>
    </xf>
    <xf numFmtId="3" fontId="21" fillId="0" borderId="33" xfId="4" applyNumberFormat="1" applyFont="1" applyFill="1" applyBorder="1" applyAlignment="1">
      <alignment horizontal="center"/>
    </xf>
    <xf numFmtId="173" fontId="21" fillId="0" borderId="33" xfId="4" applyNumberFormat="1" applyFont="1" applyFill="1" applyBorder="1" applyAlignment="1">
      <alignment horizontal="center"/>
    </xf>
    <xf numFmtId="3" fontId="63" fillId="0" borderId="33" xfId="4" applyNumberFormat="1" applyFont="1" applyFill="1" applyBorder="1" applyAlignment="1">
      <alignment horizontal="center"/>
    </xf>
    <xf numFmtId="173" fontId="63" fillId="0" borderId="33" xfId="4" applyNumberFormat="1" applyFont="1" applyFill="1" applyBorder="1" applyAlignment="1">
      <alignment horizontal="center"/>
    </xf>
    <xf numFmtId="3" fontId="23" fillId="2" borderId="90" xfId="0" applyNumberFormat="1" applyFont="1" applyFill="1" applyBorder="1" applyAlignment="1">
      <alignment horizontal="center" vertical="center" wrapText="1"/>
    </xf>
    <xf numFmtId="165" fontId="69" fillId="6" borderId="69" xfId="0" applyNumberFormat="1" applyFont="1" applyFill="1" applyBorder="1" applyAlignment="1">
      <alignment horizontal="center" vertical="center" wrapText="1"/>
    </xf>
    <xf numFmtId="165" fontId="69" fillId="2" borderId="90" xfId="0" applyNumberFormat="1" applyFont="1" applyFill="1" applyBorder="1" applyAlignment="1">
      <alignment horizontal="center" vertical="center" wrapText="1"/>
    </xf>
    <xf numFmtId="168" fontId="33" fillId="0" borderId="0" xfId="0" applyNumberFormat="1" applyFont="1" applyAlignment="1">
      <alignment horizontal="center" vertical="center" wrapText="1"/>
    </xf>
    <xf numFmtId="0" fontId="82" fillId="0" borderId="19" xfId="0" applyFont="1" applyBorder="1" applyAlignment="1">
      <alignment horizontal="center" vertical="center" wrapText="1"/>
    </xf>
    <xf numFmtId="0" fontId="82" fillId="0" borderId="11" xfId="0" applyFont="1" applyBorder="1" applyAlignment="1">
      <alignment horizontal="center" vertical="center" wrapText="1"/>
    </xf>
    <xf numFmtId="169" fontId="82" fillId="0" borderId="11" xfId="0" applyNumberFormat="1" applyFont="1" applyBorder="1" applyAlignment="1">
      <alignment horizontal="center" vertical="center" wrapText="1"/>
    </xf>
    <xf numFmtId="0" fontId="82" fillId="0" borderId="20" xfId="0" applyFont="1" applyBorder="1" applyAlignment="1">
      <alignment horizontal="center" vertical="center" wrapText="1"/>
    </xf>
    <xf numFmtId="1" fontId="22" fillId="6" borderId="18" xfId="0" applyNumberFormat="1" applyFont="1" applyFill="1" applyBorder="1" applyAlignment="1">
      <alignment horizontal="center" vertical="center" wrapText="1"/>
    </xf>
    <xf numFmtId="0" fontId="11" fillId="0" borderId="6" xfId="2" applyFont="1" applyFill="1" applyBorder="1" applyAlignment="1">
      <alignment horizontal="left" vertical="center" wrapText="1"/>
    </xf>
    <xf numFmtId="170" fontId="63" fillId="0" borderId="55" xfId="3" applyNumberFormat="1" applyFont="1" applyFill="1" applyBorder="1" applyAlignment="1">
      <alignment horizontal="center" vertical="center" wrapText="1"/>
    </xf>
    <xf numFmtId="3" fontId="21" fillId="0" borderId="36" xfId="0" applyNumberFormat="1" applyFont="1" applyBorder="1" applyAlignment="1">
      <alignment horizontal="center" vertical="center" wrapText="1"/>
    </xf>
    <xf numFmtId="172" fontId="63" fillId="0" borderId="33" xfId="0" applyNumberFormat="1" applyFont="1" applyBorder="1" applyAlignment="1">
      <alignment horizontal="center" vertical="center" wrapText="1"/>
    </xf>
    <xf numFmtId="172" fontId="63" fillId="0" borderId="55" xfId="0" applyNumberFormat="1" applyFont="1" applyBorder="1" applyAlignment="1">
      <alignment horizontal="center" vertical="center" wrapText="1"/>
    </xf>
    <xf numFmtId="3" fontId="63" fillId="0" borderId="55" xfId="0" applyNumberFormat="1" applyFont="1" applyBorder="1" applyAlignment="1">
      <alignment horizontal="center" vertical="center" wrapText="1"/>
    </xf>
    <xf numFmtId="4" fontId="63" fillId="0" borderId="55" xfId="0" applyNumberFormat="1" applyFont="1" applyBorder="1" applyAlignment="1">
      <alignment horizontal="center" vertical="center" wrapText="1"/>
    </xf>
    <xf numFmtId="3" fontId="63" fillId="0" borderId="62" xfId="0" applyNumberFormat="1" applyFont="1" applyBorder="1" applyAlignment="1">
      <alignment horizontal="center" vertical="center" wrapText="1"/>
    </xf>
    <xf numFmtId="4" fontId="63" fillId="0" borderId="91" xfId="0" applyNumberFormat="1" applyFont="1" applyBorder="1" applyAlignment="1">
      <alignment horizontal="center" vertical="center" wrapText="1"/>
    </xf>
    <xf numFmtId="4" fontId="63" fillId="0" borderId="37" xfId="0" applyNumberFormat="1" applyFont="1" applyBorder="1" applyAlignment="1">
      <alignment horizontal="center" vertical="center" wrapText="1"/>
    </xf>
    <xf numFmtId="2" fontId="63" fillId="0" borderId="55" xfId="0" applyNumberFormat="1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171" fontId="26" fillId="0" borderId="35" xfId="0" applyNumberFormat="1" applyFont="1" applyBorder="1" applyAlignment="1">
      <alignment horizontal="center" vertical="center" wrapText="1"/>
    </xf>
    <xf numFmtId="3" fontId="26" fillId="0" borderId="34" xfId="0" applyNumberFormat="1" applyFont="1" applyBorder="1" applyAlignment="1">
      <alignment horizontal="center" vertical="center" wrapText="1"/>
    </xf>
    <xf numFmtId="171" fontId="26" fillId="0" borderId="61" xfId="0" applyNumberFormat="1" applyFont="1" applyBorder="1" applyAlignment="1">
      <alignment horizontal="center" vertical="center" wrapText="1"/>
    </xf>
    <xf numFmtId="3" fontId="26" fillId="0" borderId="63" xfId="0" applyNumberFormat="1" applyFont="1" applyBorder="1" applyAlignment="1">
      <alignment horizontal="center" vertical="center" wrapText="1"/>
    </xf>
    <xf numFmtId="3" fontId="26" fillId="0" borderId="35" xfId="0" applyNumberFormat="1" applyFont="1" applyBorder="1" applyAlignment="1">
      <alignment horizontal="center" vertical="center" wrapText="1"/>
    </xf>
    <xf numFmtId="3" fontId="26" fillId="0" borderId="82" xfId="0" applyNumberFormat="1" applyFont="1" applyBorder="1" applyAlignment="1">
      <alignment horizontal="center" vertical="center" wrapText="1"/>
    </xf>
    <xf numFmtId="9" fontId="26" fillId="0" borderId="60" xfId="0" applyNumberFormat="1" applyFont="1" applyBorder="1" applyAlignment="1">
      <alignment horizontal="center" vertical="center" wrapText="1"/>
    </xf>
    <xf numFmtId="2" fontId="84" fillId="0" borderId="34" xfId="0" applyNumberFormat="1" applyFont="1" applyBorder="1" applyAlignment="1">
      <alignment horizontal="center" vertical="center" wrapText="1"/>
    </xf>
    <xf numFmtId="4" fontId="26" fillId="0" borderId="34" xfId="0" applyNumberFormat="1" applyFont="1" applyBorder="1" applyAlignment="1">
      <alignment horizontal="center" vertical="center" wrapText="1"/>
    </xf>
    <xf numFmtId="0" fontId="50" fillId="0" borderId="35" xfId="0" applyFont="1" applyBorder="1" applyAlignment="1">
      <alignment horizontal="center" vertical="center" wrapText="1"/>
    </xf>
    <xf numFmtId="4" fontId="21" fillId="0" borderId="6" xfId="0" applyNumberFormat="1" applyFont="1" applyBorder="1" applyAlignment="1">
      <alignment horizontal="center"/>
    </xf>
    <xf numFmtId="4" fontId="21" fillId="0" borderId="78" xfId="0" applyNumberFormat="1" applyFont="1" applyBorder="1" applyAlignment="1">
      <alignment horizontal="center"/>
    </xf>
    <xf numFmtId="3" fontId="84" fillId="0" borderId="33" xfId="0" applyNumberFormat="1" applyFont="1" applyBorder="1" applyAlignment="1">
      <alignment horizontal="center" vertical="center" wrapText="1"/>
    </xf>
    <xf numFmtId="3" fontId="84" fillId="0" borderId="34" xfId="0" applyNumberFormat="1" applyFont="1" applyBorder="1" applyAlignment="1">
      <alignment horizontal="center" vertical="center" wrapText="1"/>
    </xf>
    <xf numFmtId="168" fontId="84" fillId="0" borderId="34" xfId="0" applyNumberFormat="1" applyFont="1" applyBorder="1" applyAlignment="1">
      <alignment horizontal="center" vertical="center" wrapText="1"/>
    </xf>
    <xf numFmtId="0" fontId="65" fillId="6" borderId="0" xfId="0" applyFont="1" applyFill="1" applyAlignment="1">
      <alignment horizontal="center" vertical="center" wrapText="1"/>
    </xf>
    <xf numFmtId="171" fontId="66" fillId="6" borderId="35" xfId="0" applyNumberFormat="1" applyFont="1" applyFill="1" applyBorder="1" applyAlignment="1">
      <alignment horizontal="center" vertical="center" wrapText="1"/>
    </xf>
    <xf numFmtId="172" fontId="66" fillId="6" borderId="33" xfId="3" applyNumberFormat="1" applyFont="1" applyFill="1" applyBorder="1" applyAlignment="1">
      <alignment horizontal="center" vertical="center" wrapText="1"/>
    </xf>
    <xf numFmtId="171" fontId="66" fillId="6" borderId="61" xfId="0" applyNumberFormat="1" applyFont="1" applyFill="1" applyBorder="1" applyAlignment="1">
      <alignment horizontal="center" vertical="center" wrapText="1"/>
    </xf>
    <xf numFmtId="4" fontId="66" fillId="6" borderId="51" xfId="0" applyNumberFormat="1" applyFont="1" applyFill="1" applyBorder="1" applyAlignment="1">
      <alignment horizontal="center" vertical="center" wrapText="1"/>
    </xf>
    <xf numFmtId="4" fontId="66" fillId="6" borderId="60" xfId="0" applyNumberFormat="1" applyFont="1" applyFill="1" applyBorder="1" applyAlignment="1">
      <alignment horizontal="center" vertical="center" wrapText="1"/>
    </xf>
    <xf numFmtId="4" fontId="66" fillId="6" borderId="81" xfId="0" applyNumberFormat="1" applyFont="1" applyFill="1" applyBorder="1" applyAlignment="1">
      <alignment horizontal="center" vertical="center" wrapText="1"/>
    </xf>
    <xf numFmtId="0" fontId="66" fillId="6" borderId="60" xfId="0" applyFont="1" applyFill="1" applyBorder="1" applyAlignment="1">
      <alignment horizontal="center" vertical="center" wrapText="1"/>
    </xf>
    <xf numFmtId="0" fontId="65" fillId="6" borderId="35" xfId="0" applyFont="1" applyFill="1" applyBorder="1" applyAlignment="1">
      <alignment horizontal="center" vertical="center" wrapText="1"/>
    </xf>
    <xf numFmtId="172" fontId="66" fillId="6" borderId="33" xfId="0" applyNumberFormat="1" applyFont="1" applyFill="1" applyBorder="1" applyAlignment="1">
      <alignment horizontal="center" vertical="center" wrapText="1"/>
    </xf>
    <xf numFmtId="171" fontId="21" fillId="0" borderId="88" xfId="0" applyNumberFormat="1" applyFont="1" applyBorder="1" applyAlignment="1">
      <alignment horizontal="center" vertical="center" wrapText="1"/>
    </xf>
    <xf numFmtId="3" fontId="21" fillId="0" borderId="65" xfId="0" applyNumberFormat="1" applyFont="1" applyBorder="1" applyAlignment="1">
      <alignment horizontal="center" vertical="center" wrapText="1"/>
    </xf>
    <xf numFmtId="165" fontId="21" fillId="0" borderId="65" xfId="0" applyNumberFormat="1" applyFont="1" applyBorder="1" applyAlignment="1">
      <alignment horizontal="center" vertical="center" wrapText="1"/>
    </xf>
    <xf numFmtId="3" fontId="21" fillId="0" borderId="89" xfId="0" applyNumberFormat="1" applyFont="1" applyBorder="1" applyAlignment="1">
      <alignment horizontal="center" vertical="center" wrapText="1"/>
    </xf>
    <xf numFmtId="4" fontId="21" fillId="0" borderId="65" xfId="0" applyNumberFormat="1" applyFont="1" applyBorder="1" applyAlignment="1">
      <alignment horizontal="center" vertical="center" wrapText="1"/>
    </xf>
    <xf numFmtId="3" fontId="21" fillId="0" borderId="69" xfId="0" applyNumberFormat="1" applyFont="1" applyBorder="1" applyAlignment="1">
      <alignment horizontal="center" vertical="center" wrapText="1"/>
    </xf>
    <xf numFmtId="165" fontId="21" fillId="0" borderId="69" xfId="0" applyNumberFormat="1" applyFont="1" applyBorder="1" applyAlignment="1">
      <alignment horizontal="center" vertical="center" wrapText="1"/>
    </xf>
    <xf numFmtId="4" fontId="21" fillId="0" borderId="69" xfId="0" applyNumberFormat="1" applyFont="1" applyBorder="1" applyAlignment="1">
      <alignment horizontal="center" vertical="center" wrapText="1"/>
    </xf>
    <xf numFmtId="3" fontId="11" fillId="0" borderId="69" xfId="0" applyNumberFormat="1" applyFont="1" applyBorder="1" applyAlignment="1">
      <alignment horizontal="left" vertical="center" wrapText="1"/>
    </xf>
    <xf numFmtId="0" fontId="21" fillId="0" borderId="69" xfId="0" applyFont="1" applyBorder="1" applyAlignment="1">
      <alignment horizontal="center" vertical="center" wrapText="1"/>
    </xf>
    <xf numFmtId="168" fontId="21" fillId="0" borderId="65" xfId="0" applyNumberFormat="1" applyFont="1" applyBorder="1" applyAlignment="1">
      <alignment horizontal="center" vertical="center" wrapText="1"/>
    </xf>
    <xf numFmtId="168" fontId="21" fillId="0" borderId="69" xfId="0" applyNumberFormat="1" applyFont="1" applyBorder="1" applyAlignment="1">
      <alignment horizontal="center" vertical="center" wrapText="1"/>
    </xf>
    <xf numFmtId="168" fontId="21" fillId="0" borderId="90" xfId="0" applyNumberFormat="1" applyFont="1" applyBorder="1" applyAlignment="1">
      <alignment horizontal="center" vertical="center" wrapText="1"/>
    </xf>
    <xf numFmtId="168" fontId="69" fillId="6" borderId="69" xfId="0" applyNumberFormat="1" applyFont="1" applyFill="1" applyBorder="1" applyAlignment="1">
      <alignment horizontal="center" vertical="center" wrapText="1"/>
    </xf>
    <xf numFmtId="171" fontId="69" fillId="6" borderId="88" xfId="0" applyNumberFormat="1" applyFont="1" applyFill="1" applyBorder="1" applyAlignment="1">
      <alignment horizontal="center" vertical="center" wrapText="1"/>
    </xf>
    <xf numFmtId="3" fontId="69" fillId="6" borderId="89" xfId="0" applyNumberFormat="1" applyFont="1" applyFill="1" applyBorder="1" applyAlignment="1">
      <alignment horizontal="center" vertical="center" wrapText="1"/>
    </xf>
    <xf numFmtId="1" fontId="29" fillId="0" borderId="26" xfId="0" applyNumberFormat="1" applyFont="1" applyBorder="1" applyAlignment="1">
      <alignment horizontal="center" vertical="center" wrapText="1"/>
    </xf>
    <xf numFmtId="1" fontId="29" fillId="0" borderId="18" xfId="0" applyNumberFormat="1" applyFont="1" applyBorder="1" applyAlignment="1">
      <alignment horizontal="center" vertical="center" wrapText="1"/>
    </xf>
    <xf numFmtId="1" fontId="29" fillId="0" borderId="21" xfId="0" applyNumberFormat="1" applyFont="1" applyBorder="1" applyAlignment="1">
      <alignment horizontal="center" vertical="center" wrapText="1"/>
    </xf>
    <xf numFmtId="3" fontId="29" fillId="0" borderId="21" xfId="0" applyNumberFormat="1" applyFont="1" applyBorder="1" applyAlignment="1">
      <alignment horizontal="center" vertical="center" wrapText="1"/>
    </xf>
    <xf numFmtId="49" fontId="29" fillId="0" borderId="21" xfId="0" applyNumberFormat="1" applyFont="1" applyBorder="1" applyAlignment="1">
      <alignment horizontal="center" vertical="center" wrapText="1"/>
    </xf>
    <xf numFmtId="1" fontId="29" fillId="0" borderId="29" xfId="0" applyNumberFormat="1" applyFont="1" applyBorder="1" applyAlignment="1">
      <alignment horizontal="center" vertical="center" wrapText="1"/>
    </xf>
    <xf numFmtId="49" fontId="29" fillId="0" borderId="29" xfId="0" applyNumberFormat="1" applyFont="1" applyBorder="1" applyAlignment="1">
      <alignment horizontal="center" vertical="center" wrapText="1"/>
    </xf>
    <xf numFmtId="168" fontId="54" fillId="0" borderId="17" xfId="0" applyNumberFormat="1" applyFont="1" applyBorder="1" applyAlignment="1">
      <alignment horizontal="center" vertical="center" wrapText="1"/>
    </xf>
    <xf numFmtId="168" fontId="54" fillId="0" borderId="18" xfId="0" applyNumberFormat="1" applyFont="1" applyBorder="1" applyAlignment="1">
      <alignment horizontal="center" vertical="center" wrapText="1"/>
    </xf>
    <xf numFmtId="168" fontId="54" fillId="0" borderId="21" xfId="0" applyNumberFormat="1" applyFont="1" applyBorder="1" applyAlignment="1">
      <alignment horizontal="center" vertical="center" wrapText="1"/>
    </xf>
    <xf numFmtId="168" fontId="41" fillId="6" borderId="18" xfId="0" applyNumberFormat="1" applyFont="1" applyFill="1" applyBorder="1" applyAlignment="1">
      <alignment horizontal="center" vertical="center" wrapText="1"/>
    </xf>
    <xf numFmtId="168" fontId="25" fillId="6" borderId="0" xfId="0" applyNumberFormat="1" applyFont="1" applyFill="1" applyAlignment="1">
      <alignment horizontal="center" vertical="center" wrapText="1"/>
    </xf>
    <xf numFmtId="1" fontId="22" fillId="6" borderId="26" xfId="0" applyNumberFormat="1" applyFont="1" applyFill="1" applyBorder="1" applyAlignment="1">
      <alignment horizontal="center" vertical="center" wrapText="1"/>
    </xf>
    <xf numFmtId="3" fontId="22" fillId="6" borderId="29" xfId="0" applyNumberFormat="1" applyFont="1" applyFill="1" applyBorder="1" applyAlignment="1">
      <alignment horizontal="center" vertical="center" wrapText="1"/>
    </xf>
    <xf numFmtId="3" fontId="22" fillId="6" borderId="26" xfId="0" applyNumberFormat="1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 vertical="center" wrapText="1"/>
    </xf>
    <xf numFmtId="0" fontId="69" fillId="6" borderId="0" xfId="0" applyFont="1" applyFill="1" applyAlignment="1">
      <alignment horizontal="center" vertical="center" wrapText="1"/>
    </xf>
    <xf numFmtId="9" fontId="1" fillId="4" borderId="0" xfId="3" applyFont="1" applyFill="1" applyAlignment="1">
      <alignment horizontal="center" vertical="center"/>
    </xf>
    <xf numFmtId="0" fontId="9" fillId="24" borderId="9" xfId="2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pivotButton="1" applyFont="1"/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11" fillId="3" borderId="0" xfId="0" applyFont="1" applyFill="1" applyAlignment="1">
      <alignment horizontal="left" indent="1"/>
    </xf>
    <xf numFmtId="0" fontId="11" fillId="3" borderId="0" xfId="0" applyFont="1" applyFill="1"/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87" fillId="0" borderId="0" xfId="0" applyFont="1"/>
    <xf numFmtId="0" fontId="0" fillId="0" borderId="0" xfId="0" applyAlignment="1">
      <alignment horizontal="center"/>
    </xf>
    <xf numFmtId="0" fontId="66" fillId="2" borderId="0" xfId="0" applyFont="1" applyFill="1" applyAlignment="1">
      <alignment horizontal="center"/>
    </xf>
    <xf numFmtId="0" fontId="23" fillId="8" borderId="17" xfId="0" applyFont="1" applyFill="1" applyBorder="1" applyAlignment="1">
      <alignment horizontal="center"/>
    </xf>
    <xf numFmtId="0" fontId="8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70" fontId="18" fillId="0" borderId="0" xfId="0" applyNumberFormat="1" applyFont="1" applyAlignment="1">
      <alignment horizontal="center" vertical="center" wrapText="1"/>
    </xf>
    <xf numFmtId="170" fontId="18" fillId="0" borderId="0" xfId="0" applyNumberFormat="1" applyFont="1" applyAlignment="1">
      <alignment horizontal="center" vertical="center" textRotation="90" wrapText="1"/>
    </xf>
    <xf numFmtId="168" fontId="18" fillId="0" borderId="0" xfId="0" applyNumberFormat="1" applyFont="1" applyAlignment="1">
      <alignment horizontal="center" vertical="center" textRotation="90" wrapText="1"/>
    </xf>
    <xf numFmtId="4" fontId="18" fillId="0" borderId="0" xfId="0" applyNumberFormat="1" applyFont="1" applyAlignment="1">
      <alignment horizontal="center" vertical="center" textRotation="90" wrapText="1"/>
    </xf>
    <xf numFmtId="0" fontId="18" fillId="0" borderId="0" xfId="0" applyFont="1" applyAlignment="1">
      <alignment horizontal="center" vertical="center" textRotation="90" wrapText="1"/>
    </xf>
    <xf numFmtId="171" fontId="58" fillId="8" borderId="8" xfId="2" applyNumberFormat="1" applyFont="1" applyFill="1" applyBorder="1" applyAlignment="1">
      <alignment horizontal="center" vertical="center" wrapText="1"/>
    </xf>
    <xf numFmtId="171" fontId="58" fillId="8" borderId="6" xfId="0" applyNumberFormat="1" applyFont="1" applyFill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9" fontId="58" fillId="8" borderId="6" xfId="0" applyNumberFormat="1" applyFont="1" applyFill="1" applyBorder="1" applyAlignment="1">
      <alignment horizontal="center" vertical="center" wrapText="1"/>
    </xf>
    <xf numFmtId="0" fontId="18" fillId="10" borderId="9" xfId="2" applyFont="1" applyFill="1" applyBorder="1" applyAlignment="1">
      <alignment horizontal="center" vertical="center" wrapText="1"/>
    </xf>
    <xf numFmtId="0" fontId="18" fillId="9" borderId="6" xfId="2" applyFont="1" applyFill="1" applyBorder="1" applyAlignment="1">
      <alignment horizontal="left" vertical="center" wrapText="1"/>
    </xf>
    <xf numFmtId="0" fontId="77" fillId="22" borderId="6" xfId="1" applyFont="1" applyFill="1" applyBorder="1" applyAlignment="1">
      <alignment horizontal="center" vertical="center" wrapText="1"/>
    </xf>
    <xf numFmtId="0" fontId="77" fillId="22" borderId="6" xfId="2" applyFont="1" applyFill="1" applyBorder="1" applyAlignment="1">
      <alignment horizontal="center" vertical="center" wrapText="1"/>
    </xf>
    <xf numFmtId="170" fontId="58" fillId="2" borderId="6" xfId="0" applyNumberFormat="1" applyFont="1" applyFill="1" applyBorder="1" applyAlignment="1">
      <alignment horizontal="center" vertical="center" wrapText="1"/>
    </xf>
    <xf numFmtId="3" fontId="18" fillId="0" borderId="64" xfId="0" applyNumberFormat="1" applyFont="1" applyBorder="1" applyAlignment="1">
      <alignment horizontal="center" vertical="center" wrapText="1"/>
    </xf>
    <xf numFmtId="0" fontId="89" fillId="9" borderId="6" xfId="0" applyFont="1" applyFill="1" applyBorder="1" applyAlignment="1">
      <alignment horizontal="left" vertical="center" wrapText="1"/>
    </xf>
    <xf numFmtId="170" fontId="58" fillId="2" borderId="10" xfId="0" applyNumberFormat="1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0" fontId="18" fillId="9" borderId="10" xfId="2" applyFont="1" applyFill="1" applyBorder="1" applyAlignment="1">
      <alignment horizontal="left" vertical="center" wrapText="1"/>
    </xf>
    <xf numFmtId="0" fontId="77" fillId="22" borderId="10" xfId="1" applyFont="1" applyFill="1" applyBorder="1" applyAlignment="1">
      <alignment horizontal="center" vertical="center" wrapText="1"/>
    </xf>
    <xf numFmtId="0" fontId="77" fillId="22" borderId="10" xfId="2" applyFont="1" applyFill="1" applyBorder="1" applyAlignment="1">
      <alignment horizontal="center" vertical="center" wrapText="1"/>
    </xf>
    <xf numFmtId="0" fontId="18" fillId="0" borderId="85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77" fillId="22" borderId="64" xfId="1" applyFont="1" applyFill="1" applyBorder="1" applyAlignment="1">
      <alignment horizontal="center" vertical="center" wrapText="1"/>
    </xf>
    <xf numFmtId="0" fontId="18" fillId="9" borderId="64" xfId="2" applyFont="1" applyFill="1" applyBorder="1" applyAlignment="1">
      <alignment horizontal="left" vertical="center" wrapText="1"/>
    </xf>
    <xf numFmtId="0" fontId="77" fillId="22" borderId="64" xfId="2" applyFont="1" applyFill="1" applyBorder="1" applyAlignment="1">
      <alignment horizontal="center" vertical="center" wrapText="1"/>
    </xf>
    <xf numFmtId="0" fontId="18" fillId="9" borderId="8" xfId="2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58" fillId="2" borderId="0" xfId="0" applyFont="1" applyFill="1" applyAlignment="1">
      <alignment horizontal="center" vertical="center" wrapText="1"/>
    </xf>
    <xf numFmtId="170" fontId="90" fillId="2" borderId="0" xfId="0" applyNumberFormat="1" applyFont="1" applyFill="1" applyAlignment="1">
      <alignment horizontal="center" vertical="center" wrapText="1"/>
    </xf>
    <xf numFmtId="14" fontId="18" fillId="0" borderId="0" xfId="0" applyNumberFormat="1" applyFont="1" applyAlignment="1">
      <alignment horizontal="left" vertical="center" wrapText="1"/>
    </xf>
    <xf numFmtId="167" fontId="18" fillId="0" borderId="0" xfId="0" applyNumberFormat="1" applyFont="1" applyAlignment="1">
      <alignment horizontal="center" vertical="center" wrapText="1"/>
    </xf>
    <xf numFmtId="20" fontId="18" fillId="0" borderId="0" xfId="0" applyNumberFormat="1" applyFont="1" applyAlignment="1">
      <alignment horizontal="center" vertical="center" wrapText="1"/>
    </xf>
    <xf numFmtId="9" fontId="90" fillId="2" borderId="0" xfId="0" applyNumberFormat="1" applyFont="1" applyFill="1" applyAlignment="1">
      <alignment horizontal="center" vertical="center" wrapText="1"/>
    </xf>
    <xf numFmtId="9" fontId="18" fillId="0" borderId="0" xfId="0" applyNumberFormat="1" applyFont="1" applyAlignment="1">
      <alignment horizontal="center" vertical="center" wrapText="1"/>
    </xf>
    <xf numFmtId="168" fontId="30" fillId="0" borderId="0" xfId="0" applyNumberFormat="1" applyFont="1" applyAlignment="1">
      <alignment horizontal="center" vertical="center" wrapText="1"/>
    </xf>
    <xf numFmtId="170" fontId="30" fillId="0" borderId="0" xfId="0" applyNumberFormat="1" applyFont="1" applyAlignment="1">
      <alignment horizontal="center" vertical="center" wrapText="1"/>
    </xf>
    <xf numFmtId="170" fontId="90" fillId="8" borderId="6" xfId="0" applyNumberFormat="1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vertical="center" wrapText="1"/>
    </xf>
    <xf numFmtId="0" fontId="90" fillId="0" borderId="0" xfId="0" applyFont="1" applyAlignment="1">
      <alignment vertical="center" wrapText="1"/>
    </xf>
    <xf numFmtId="0" fontId="69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170" fontId="9" fillId="6" borderId="0" xfId="0" applyNumberFormat="1" applyFont="1" applyFill="1" applyAlignment="1">
      <alignment horizontal="center" vertical="center" wrapText="1"/>
    </xf>
    <xf numFmtId="9" fontId="9" fillId="6" borderId="0" xfId="0" applyNumberFormat="1" applyFont="1" applyFill="1" applyAlignment="1">
      <alignment horizontal="center" vertical="center" wrapText="1"/>
    </xf>
    <xf numFmtId="170" fontId="58" fillId="2" borderId="8" xfId="0" applyNumberFormat="1" applyFont="1" applyFill="1" applyBorder="1" applyAlignment="1">
      <alignment horizontal="center" vertical="center" wrapText="1"/>
    </xf>
    <xf numFmtId="0" fontId="91" fillId="0" borderId="18" xfId="0" applyFont="1" applyBorder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0" fontId="76" fillId="9" borderId="0" xfId="0" applyFont="1" applyFill="1" applyAlignment="1">
      <alignment horizontal="center" vertical="center"/>
    </xf>
    <xf numFmtId="0" fontId="71" fillId="2" borderId="18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23" fillId="8" borderId="17" xfId="0" applyNumberFormat="1" applyFont="1" applyFill="1" applyBorder="1" applyAlignment="1">
      <alignment horizontal="center"/>
    </xf>
    <xf numFmtId="3" fontId="14" fillId="2" borderId="18" xfId="0" applyNumberFormat="1" applyFont="1" applyFill="1" applyBorder="1" applyAlignment="1">
      <alignment horizontal="center"/>
    </xf>
    <xf numFmtId="3" fontId="14" fillId="6" borderId="18" xfId="0" applyNumberFormat="1" applyFont="1" applyFill="1" applyBorder="1" applyAlignment="1">
      <alignment horizontal="center"/>
    </xf>
    <xf numFmtId="169" fontId="1" fillId="3" borderId="76" xfId="0" applyNumberFormat="1" applyFont="1" applyFill="1" applyBorder="1" applyAlignment="1">
      <alignment horizontal="center" vertical="center"/>
    </xf>
    <xf numFmtId="9" fontId="92" fillId="4" borderId="77" xfId="3" applyFont="1" applyFill="1" applyBorder="1" applyAlignment="1">
      <alignment horizontal="center" vertical="center"/>
    </xf>
    <xf numFmtId="9" fontId="18" fillId="0" borderId="6" xfId="0" applyNumberFormat="1" applyFont="1" applyBorder="1" applyAlignment="1">
      <alignment horizontal="center" vertical="center" wrapText="1"/>
    </xf>
    <xf numFmtId="14" fontId="60" fillId="2" borderId="38" xfId="0" applyNumberFormat="1" applyFont="1" applyFill="1" applyBorder="1" applyAlignment="1">
      <alignment horizontal="center" vertical="center"/>
    </xf>
    <xf numFmtId="3" fontId="34" fillId="4" borderId="16" xfId="0" quotePrefix="1" applyNumberFormat="1" applyFont="1" applyFill="1" applyBorder="1" applyAlignment="1">
      <alignment horizontal="center" vertical="center"/>
    </xf>
    <xf numFmtId="170" fontId="58" fillId="6" borderId="6" xfId="0" applyNumberFormat="1" applyFont="1" applyFill="1" applyBorder="1" applyAlignment="1">
      <alignment horizontal="center" vertical="center" wrapText="1"/>
    </xf>
    <xf numFmtId="170" fontId="58" fillId="6" borderId="10" xfId="0" applyNumberFormat="1" applyFont="1" applyFill="1" applyBorder="1" applyAlignment="1">
      <alignment horizontal="center" vertical="center" wrapText="1"/>
    </xf>
    <xf numFmtId="170" fontId="58" fillId="6" borderId="8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3" fontId="1" fillId="0" borderId="93" xfId="0" applyNumberFormat="1" applyFont="1" applyBorder="1" applyAlignment="1">
      <alignment horizontal="center" vertical="center" wrapText="1"/>
    </xf>
    <xf numFmtId="14" fontId="1" fillId="0" borderId="93" xfId="0" applyNumberFormat="1" applyFont="1" applyBorder="1" applyAlignment="1">
      <alignment horizontal="center" vertical="center" wrapText="1"/>
    </xf>
    <xf numFmtId="0" fontId="1" fillId="0" borderId="93" xfId="0" applyFont="1" applyBorder="1" applyAlignment="1">
      <alignment horizontal="center" vertical="center" wrapText="1"/>
    </xf>
    <xf numFmtId="3" fontId="14" fillId="8" borderId="93" xfId="0" applyNumberFormat="1" applyFont="1" applyFill="1" applyBorder="1" applyAlignment="1">
      <alignment horizontal="center" vertical="center" wrapText="1"/>
    </xf>
    <xf numFmtId="14" fontId="14" fillId="8" borderId="93" xfId="0" applyNumberFormat="1" applyFont="1" applyFill="1" applyBorder="1" applyAlignment="1">
      <alignment horizontal="center" vertical="center" wrapText="1"/>
    </xf>
    <xf numFmtId="0" fontId="14" fillId="8" borderId="93" xfId="0" applyFont="1" applyFill="1" applyBorder="1" applyAlignment="1">
      <alignment horizontal="center" vertical="center" wrapText="1"/>
    </xf>
    <xf numFmtId="3" fontId="1" fillId="0" borderId="94" xfId="0" applyNumberFormat="1" applyFont="1" applyBorder="1" applyAlignment="1">
      <alignment horizontal="center" vertical="center" wrapText="1"/>
    </xf>
    <xf numFmtId="14" fontId="1" fillId="0" borderId="94" xfId="0" applyNumberFormat="1" applyFont="1" applyBorder="1" applyAlignment="1">
      <alignment horizontal="center" vertical="center" wrapText="1"/>
    </xf>
    <xf numFmtId="0" fontId="1" fillId="0" borderId="94" xfId="0" applyFont="1" applyBorder="1" applyAlignment="1">
      <alignment horizontal="center" vertical="center" wrapText="1"/>
    </xf>
    <xf numFmtId="3" fontId="1" fillId="0" borderId="95" xfId="0" applyNumberFormat="1" applyFont="1" applyBorder="1" applyAlignment="1">
      <alignment horizontal="center" vertical="center" wrapText="1"/>
    </xf>
    <xf numFmtId="14" fontId="1" fillId="0" borderId="96" xfId="0" applyNumberFormat="1" applyFont="1" applyBorder="1" applyAlignment="1">
      <alignment horizontal="center" vertical="center" wrapText="1"/>
    </xf>
    <xf numFmtId="0" fontId="1" fillId="0" borderId="96" xfId="0" applyFont="1" applyBorder="1" applyAlignment="1">
      <alignment horizontal="center" vertical="center" wrapText="1"/>
    </xf>
    <xf numFmtId="0" fontId="94" fillId="9" borderId="0" xfId="0" applyFont="1" applyFill="1" applyAlignment="1">
      <alignment horizontal="center" vertical="center" wrapText="1"/>
    </xf>
    <xf numFmtId="170" fontId="18" fillId="0" borderId="6" xfId="0" applyNumberFormat="1" applyFont="1" applyBorder="1" applyAlignment="1">
      <alignment horizontal="center" vertical="center" wrapText="1"/>
    </xf>
    <xf numFmtId="170" fontId="18" fillId="0" borderId="10" xfId="0" applyNumberFormat="1" applyFont="1" applyBorder="1" applyAlignment="1">
      <alignment horizontal="center" vertical="center" wrapText="1"/>
    </xf>
    <xf numFmtId="170" fontId="18" fillId="0" borderId="8" xfId="0" applyNumberFormat="1" applyFont="1" applyBorder="1" applyAlignment="1">
      <alignment horizontal="center" vertical="center" wrapText="1"/>
    </xf>
    <xf numFmtId="170" fontId="18" fillId="0" borderId="85" xfId="0" applyNumberFormat="1" applyFont="1" applyBorder="1" applyAlignment="1">
      <alignment horizontal="center" vertical="center" wrapText="1"/>
    </xf>
    <xf numFmtId="171" fontId="58" fillId="8" borderId="78" xfId="2" applyNumberFormat="1" applyFont="1" applyFill="1" applyBorder="1" applyAlignment="1">
      <alignment horizontal="center" vertical="center" wrapText="1"/>
    </xf>
    <xf numFmtId="3" fontId="1" fillId="0" borderId="18" xfId="0" applyNumberFormat="1" applyFont="1" applyBorder="1" applyAlignment="1">
      <alignment horizontal="center"/>
    </xf>
    <xf numFmtId="3" fontId="1" fillId="0" borderId="21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84" fillId="0" borderId="18" xfId="0" applyFont="1" applyBorder="1" applyAlignment="1">
      <alignment horizontal="center" vertical="center" wrapText="1"/>
    </xf>
    <xf numFmtId="0" fontId="95" fillId="0" borderId="18" xfId="0" applyFont="1" applyBorder="1" applyAlignment="1">
      <alignment horizontal="center" vertical="center" wrapText="1"/>
    </xf>
    <xf numFmtId="168" fontId="1" fillId="0" borderId="0" xfId="0" applyNumberFormat="1" applyFont="1" applyAlignment="1">
      <alignment horizontal="center"/>
    </xf>
    <xf numFmtId="168" fontId="23" fillId="8" borderId="17" xfId="0" applyNumberFormat="1" applyFont="1" applyFill="1" applyBorder="1" applyAlignment="1">
      <alignment horizontal="center"/>
    </xf>
    <xf numFmtId="168" fontId="1" fillId="0" borderId="18" xfId="0" applyNumberFormat="1" applyFont="1" applyBorder="1" applyAlignment="1">
      <alignment horizontal="center"/>
    </xf>
    <xf numFmtId="168" fontId="14" fillId="2" borderId="18" xfId="0" applyNumberFormat="1" applyFont="1" applyFill="1" applyBorder="1" applyAlignment="1">
      <alignment horizontal="center"/>
    </xf>
    <xf numFmtId="3" fontId="14" fillId="2" borderId="27" xfId="0" applyNumberFormat="1" applyFont="1" applyFill="1" applyBorder="1" applyAlignment="1">
      <alignment horizontal="center"/>
    </xf>
    <xf numFmtId="168" fontId="14" fillId="6" borderId="18" xfId="0" applyNumberFormat="1" applyFont="1" applyFill="1" applyBorder="1" applyAlignment="1">
      <alignment horizontal="center"/>
    </xf>
    <xf numFmtId="0" fontId="71" fillId="6" borderId="18" xfId="0" applyFont="1" applyFill="1" applyBorder="1" applyAlignment="1">
      <alignment horizontal="center" vertical="center" wrapText="1"/>
    </xf>
    <xf numFmtId="3" fontId="1" fillId="3" borderId="18" xfId="0" applyNumberFormat="1" applyFont="1" applyFill="1" applyBorder="1" applyAlignment="1">
      <alignment horizontal="center"/>
    </xf>
    <xf numFmtId="168" fontId="1" fillId="3" borderId="18" xfId="0" applyNumberFormat="1" applyFont="1" applyFill="1" applyBorder="1" applyAlignment="1">
      <alignment horizontal="center"/>
    </xf>
    <xf numFmtId="0" fontId="84" fillId="3" borderId="18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72" fillId="2" borderId="19" xfId="0" applyFont="1" applyFill="1" applyBorder="1" applyAlignment="1">
      <alignment horizontal="center" vertical="center"/>
    </xf>
    <xf numFmtId="0" fontId="72" fillId="2" borderId="11" xfId="0" applyFont="1" applyFill="1" applyBorder="1" applyAlignment="1">
      <alignment horizontal="center" vertical="center"/>
    </xf>
    <xf numFmtId="0" fontId="72" fillId="2" borderId="12" xfId="0" applyFont="1" applyFill="1" applyBorder="1" applyAlignment="1">
      <alignment horizontal="center" vertical="center"/>
    </xf>
    <xf numFmtId="9" fontId="26" fillId="4" borderId="0" xfId="3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0" fontId="58" fillId="6" borderId="0" xfId="0" applyFont="1" applyFill="1" applyAlignment="1">
      <alignment horizontal="center" vertical="center" wrapText="1"/>
    </xf>
    <xf numFmtId="14" fontId="93" fillId="2" borderId="13" xfId="0" applyNumberFormat="1" applyFont="1" applyFill="1" applyBorder="1" applyAlignment="1">
      <alignment horizontal="center" vertical="center" wrapText="1"/>
    </xf>
    <xf numFmtId="0" fontId="93" fillId="2" borderId="13" xfId="0" applyFont="1" applyFill="1" applyBorder="1" applyAlignment="1">
      <alignment horizontal="center" vertical="center" wrapText="1"/>
    </xf>
    <xf numFmtId="0" fontId="69" fillId="2" borderId="13" xfId="0" applyFont="1" applyFill="1" applyBorder="1" applyAlignment="1">
      <alignment horizontal="center" vertical="center" wrapText="1"/>
    </xf>
    <xf numFmtId="3" fontId="76" fillId="18" borderId="27" xfId="0" applyNumberFormat="1" applyFont="1" applyFill="1" applyBorder="1" applyAlignment="1">
      <alignment horizontal="center" vertical="center" wrapText="1"/>
    </xf>
    <xf numFmtId="3" fontId="76" fillId="20" borderId="26" xfId="0" applyNumberFormat="1" applyFont="1" applyFill="1" applyBorder="1" applyAlignment="1">
      <alignment horizontal="center" vertical="center" wrapText="1"/>
    </xf>
    <xf numFmtId="3" fontId="76" fillId="20" borderId="21" xfId="0" applyNumberFormat="1" applyFont="1" applyFill="1" applyBorder="1" applyAlignment="1">
      <alignment horizontal="center" vertical="center" wrapText="1"/>
    </xf>
    <xf numFmtId="171" fontId="1" fillId="0" borderId="17" xfId="0" applyNumberFormat="1" applyFont="1" applyBorder="1" applyAlignment="1">
      <alignment horizontal="center" textRotation="255" wrapText="1"/>
    </xf>
    <xf numFmtId="171" fontId="1" fillId="0" borderId="18" xfId="0" applyNumberFormat="1" applyFont="1" applyBorder="1" applyAlignment="1">
      <alignment horizontal="center" textRotation="255" wrapText="1"/>
    </xf>
    <xf numFmtId="171" fontId="1" fillId="0" borderId="21" xfId="0" applyNumberFormat="1" applyFont="1" applyBorder="1" applyAlignment="1">
      <alignment horizontal="center" textRotation="255" wrapText="1"/>
    </xf>
    <xf numFmtId="3" fontId="76" fillId="18" borderId="18" xfId="0" applyNumberFormat="1" applyFont="1" applyFill="1" applyBorder="1" applyAlignment="1">
      <alignment horizontal="center" vertical="center" wrapText="1"/>
    </xf>
    <xf numFmtId="3" fontId="69" fillId="2" borderId="17" xfId="0" applyNumberFormat="1" applyFont="1" applyFill="1" applyBorder="1" applyAlignment="1">
      <alignment horizontal="center" vertical="center" wrapText="1"/>
    </xf>
    <xf numFmtId="3" fontId="69" fillId="2" borderId="71" xfId="0" applyNumberFormat="1" applyFont="1" applyFill="1" applyBorder="1" applyAlignment="1">
      <alignment horizontal="center" vertical="center" wrapText="1"/>
    </xf>
    <xf numFmtId="0" fontId="63" fillId="0" borderId="0" xfId="2" applyFont="1" applyFill="1" applyBorder="1" applyAlignment="1">
      <alignment horizontal="center" vertical="center" wrapText="1"/>
    </xf>
    <xf numFmtId="0" fontId="14" fillId="21" borderId="0" xfId="0" applyFont="1" applyFill="1" applyAlignment="1">
      <alignment horizontal="center" vertical="center" wrapText="1"/>
    </xf>
    <xf numFmtId="0" fontId="56" fillId="16" borderId="0" xfId="0" applyFont="1" applyFill="1" applyAlignment="1">
      <alignment horizontal="center" vertical="center" wrapText="1"/>
    </xf>
    <xf numFmtId="0" fontId="55" fillId="0" borderId="52" xfId="0" applyFont="1" applyBorder="1" applyAlignment="1">
      <alignment horizontal="center" vertical="center" wrapText="1"/>
    </xf>
    <xf numFmtId="0" fontId="55" fillId="0" borderId="53" xfId="0" applyFont="1" applyBorder="1" applyAlignment="1">
      <alignment horizontal="center" vertical="center" wrapText="1"/>
    </xf>
    <xf numFmtId="0" fontId="55" fillId="18" borderId="52" xfId="0" applyFont="1" applyFill="1" applyBorder="1" applyAlignment="1">
      <alignment horizontal="center" vertical="center" wrapText="1"/>
    </xf>
    <xf numFmtId="0" fontId="55" fillId="18" borderId="53" xfId="0" applyFont="1" applyFill="1" applyBorder="1" applyAlignment="1">
      <alignment horizontal="center" vertical="center" wrapText="1"/>
    </xf>
    <xf numFmtId="0" fontId="55" fillId="18" borderId="54" xfId="0" applyFont="1" applyFill="1" applyBorder="1" applyAlignment="1">
      <alignment horizontal="center" vertical="center" wrapText="1"/>
    </xf>
    <xf numFmtId="0" fontId="55" fillId="12" borderId="52" xfId="0" applyFont="1" applyFill="1" applyBorder="1" applyAlignment="1">
      <alignment horizontal="center" vertical="center" wrapText="1"/>
    </xf>
    <xf numFmtId="0" fontId="55" fillId="12" borderId="53" xfId="0" applyFont="1" applyFill="1" applyBorder="1" applyAlignment="1">
      <alignment horizontal="center" vertical="center" wrapText="1"/>
    </xf>
    <xf numFmtId="0" fontId="55" fillId="12" borderId="54" xfId="0" applyFont="1" applyFill="1" applyBorder="1" applyAlignment="1">
      <alignment horizontal="center" vertical="center" wrapText="1"/>
    </xf>
    <xf numFmtId="0" fontId="55" fillId="10" borderId="52" xfId="0" applyFont="1" applyFill="1" applyBorder="1" applyAlignment="1">
      <alignment horizontal="center" vertical="center" wrapText="1"/>
    </xf>
    <xf numFmtId="0" fontId="55" fillId="10" borderId="53" xfId="0" applyFont="1" applyFill="1" applyBorder="1" applyAlignment="1">
      <alignment horizontal="center" vertical="center" wrapText="1"/>
    </xf>
    <xf numFmtId="0" fontId="55" fillId="10" borderId="54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3" fontId="24" fillId="0" borderId="46" xfId="0" applyNumberFormat="1" applyFont="1" applyBorder="1" applyAlignment="1">
      <alignment horizontal="center" vertical="center" wrapText="1"/>
    </xf>
    <xf numFmtId="3" fontId="24" fillId="0" borderId="47" xfId="0" applyNumberFormat="1" applyFont="1" applyBorder="1" applyAlignment="1">
      <alignment horizontal="center" vertical="center" wrapText="1"/>
    </xf>
    <xf numFmtId="0" fontId="21" fillId="9" borderId="18" xfId="2" applyFont="1" applyFill="1" applyBorder="1" applyAlignment="1">
      <alignment horizontal="center" vertical="center" wrapText="1"/>
    </xf>
    <xf numFmtId="171" fontId="60" fillId="19" borderId="65" xfId="0" applyNumberFormat="1" applyFont="1" applyFill="1" applyBorder="1" applyAlignment="1">
      <alignment horizontal="center" vertical="center" wrapText="1"/>
    </xf>
    <xf numFmtId="0" fontId="21" fillId="9" borderId="17" xfId="2" applyFont="1" applyFill="1" applyBorder="1" applyAlignment="1">
      <alignment horizontal="center" vertical="center" wrapText="1"/>
    </xf>
    <xf numFmtId="3" fontId="53" fillId="0" borderId="67" xfId="0" applyNumberFormat="1" applyFont="1" applyBorder="1" applyAlignment="1">
      <alignment horizontal="center" vertical="center" wrapText="1"/>
    </xf>
    <xf numFmtId="3" fontId="53" fillId="0" borderId="68" xfId="0" applyNumberFormat="1" applyFont="1" applyBorder="1" applyAlignment="1">
      <alignment horizontal="center" vertical="center" wrapText="1"/>
    </xf>
    <xf numFmtId="0" fontId="23" fillId="21" borderId="0" xfId="0" applyFont="1" applyFill="1" applyAlignment="1">
      <alignment horizontal="center" vertical="center" wrapText="1"/>
    </xf>
    <xf numFmtId="0" fontId="23" fillId="21" borderId="87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63" fillId="10" borderId="0" xfId="0" applyNumberFormat="1" applyFont="1" applyFill="1" applyAlignment="1">
      <alignment horizontal="center" vertical="center" wrapText="1"/>
    </xf>
    <xf numFmtId="3" fontId="66" fillId="2" borderId="0" xfId="0" applyNumberFormat="1" applyFont="1" applyFill="1" applyAlignment="1">
      <alignment horizontal="center" vertical="center" wrapText="1"/>
    </xf>
    <xf numFmtId="0" fontId="21" fillId="0" borderId="23" xfId="2" applyFont="1" applyFill="1" applyBorder="1" applyAlignment="1">
      <alignment horizontal="center" vertical="center" wrapText="1"/>
    </xf>
    <xf numFmtId="0" fontId="22" fillId="16" borderId="38" xfId="0" applyFont="1" applyFill="1" applyBorder="1" applyAlignment="1">
      <alignment horizontal="center" vertical="center" wrapText="1"/>
    </xf>
    <xf numFmtId="0" fontId="22" fillId="16" borderId="39" xfId="0" applyFont="1" applyFill="1" applyBorder="1" applyAlignment="1">
      <alignment horizontal="center" vertical="center" wrapText="1"/>
    </xf>
    <xf numFmtId="0" fontId="22" fillId="16" borderId="40" xfId="0" applyFont="1" applyFill="1" applyBorder="1" applyAlignment="1">
      <alignment horizontal="center" vertical="center" wrapText="1"/>
    </xf>
    <xf numFmtId="0" fontId="22" fillId="16" borderId="24" xfId="0" applyFont="1" applyFill="1" applyBorder="1" applyAlignment="1">
      <alignment horizontal="center" vertical="center" wrapText="1"/>
    </xf>
    <xf numFmtId="0" fontId="22" fillId="16" borderId="0" xfId="0" applyFont="1" applyFill="1" applyAlignment="1">
      <alignment horizontal="center" vertical="center" wrapText="1"/>
    </xf>
    <xf numFmtId="0" fontId="22" fillId="16" borderId="25" xfId="0" applyFont="1" applyFill="1" applyBorder="1" applyAlignment="1">
      <alignment horizontal="center" vertical="center" wrapText="1"/>
    </xf>
    <xf numFmtId="0" fontId="55" fillId="0" borderId="54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4" fillId="9" borderId="0" xfId="0" applyFont="1" applyFill="1" applyAlignment="1">
      <alignment horizontal="center" vertical="center" wrapText="1"/>
    </xf>
    <xf numFmtId="49" fontId="27" fillId="2" borderId="0" xfId="0" applyNumberFormat="1" applyFont="1" applyFill="1" applyAlignment="1">
      <alignment horizontal="center" vertical="center" wrapText="1"/>
    </xf>
    <xf numFmtId="49" fontId="22" fillId="2" borderId="0" xfId="0" applyNumberFormat="1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26" fillId="13" borderId="22" xfId="0" applyFont="1" applyFill="1" applyBorder="1" applyAlignment="1">
      <alignment horizontal="center" vertical="center" wrapText="1"/>
    </xf>
    <xf numFmtId="171" fontId="29" fillId="13" borderId="17" xfId="0" applyNumberFormat="1" applyFont="1" applyFill="1" applyBorder="1" applyAlignment="1">
      <alignment horizontal="center" vertical="center" wrapText="1"/>
    </xf>
    <xf numFmtId="171" fontId="29" fillId="13" borderId="18" xfId="0" applyNumberFormat="1" applyFont="1" applyFill="1" applyBorder="1" applyAlignment="1">
      <alignment horizontal="center" vertical="center" wrapText="1"/>
    </xf>
    <xf numFmtId="171" fontId="29" fillId="13" borderId="21" xfId="0" applyNumberFormat="1" applyFont="1" applyFill="1" applyBorder="1" applyAlignment="1">
      <alignment horizontal="center" vertical="center" wrapText="1"/>
    </xf>
    <xf numFmtId="0" fontId="28" fillId="13" borderId="22" xfId="0" applyFont="1" applyFill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9" fillId="13" borderId="17" xfId="0" applyFont="1" applyFill="1" applyBorder="1" applyAlignment="1">
      <alignment horizontal="center" vertical="center" wrapText="1"/>
    </xf>
    <xf numFmtId="0" fontId="29" fillId="13" borderId="18" xfId="0" applyFont="1" applyFill="1" applyBorder="1" applyAlignment="1">
      <alignment horizontal="center" vertical="center" wrapText="1"/>
    </xf>
    <xf numFmtId="0" fontId="29" fillId="13" borderId="21" xfId="0" applyFont="1" applyFill="1" applyBorder="1" applyAlignment="1">
      <alignment horizontal="center" vertical="center" wrapText="1"/>
    </xf>
    <xf numFmtId="0" fontId="28" fillId="13" borderId="38" xfId="0" applyFont="1" applyFill="1" applyBorder="1" applyAlignment="1">
      <alignment horizontal="center" vertical="center" wrapText="1"/>
    </xf>
    <xf numFmtId="0" fontId="28" fillId="13" borderId="39" xfId="0" applyFont="1" applyFill="1" applyBorder="1" applyAlignment="1">
      <alignment horizontal="center" vertical="center" wrapText="1"/>
    </xf>
    <xf numFmtId="0" fontId="28" fillId="13" borderId="40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41" fillId="16" borderId="38" xfId="0" applyFont="1" applyFill="1" applyBorder="1" applyAlignment="1">
      <alignment horizontal="center" vertical="center" wrapText="1"/>
    </xf>
    <xf numFmtId="0" fontId="41" fillId="16" borderId="39" xfId="0" applyFont="1" applyFill="1" applyBorder="1" applyAlignment="1">
      <alignment horizontal="center" vertical="center" wrapText="1"/>
    </xf>
    <xf numFmtId="0" fontId="41" fillId="16" borderId="40" xfId="0" applyFont="1" applyFill="1" applyBorder="1" applyAlignment="1">
      <alignment horizontal="center" vertical="center" wrapText="1"/>
    </xf>
    <xf numFmtId="0" fontId="41" fillId="16" borderId="24" xfId="0" applyFont="1" applyFill="1" applyBorder="1" applyAlignment="1">
      <alignment horizontal="center" vertical="center" wrapText="1"/>
    </xf>
    <xf numFmtId="0" fontId="41" fillId="16" borderId="0" xfId="0" applyFont="1" applyFill="1" applyAlignment="1">
      <alignment horizontal="center" vertical="center" wrapText="1"/>
    </xf>
    <xf numFmtId="0" fontId="41" fillId="16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55" fillId="4" borderId="52" xfId="0" applyFont="1" applyFill="1" applyBorder="1" applyAlignment="1">
      <alignment horizontal="center" vertical="center" wrapText="1"/>
    </xf>
    <xf numFmtId="0" fontId="55" fillId="4" borderId="53" xfId="0" applyFont="1" applyFill="1" applyBorder="1" applyAlignment="1">
      <alignment horizontal="center" vertical="center" wrapText="1"/>
    </xf>
    <xf numFmtId="0" fontId="55" fillId="4" borderId="54" xfId="0" applyFont="1" applyFill="1" applyBorder="1" applyAlignment="1">
      <alignment horizontal="center" vertical="center" wrapText="1"/>
    </xf>
    <xf numFmtId="0" fontId="22" fillId="8" borderId="0" xfId="0" applyFont="1" applyFill="1" applyAlignment="1">
      <alignment horizontal="center"/>
    </xf>
    <xf numFmtId="14" fontId="60" fillId="8" borderId="92" xfId="0" applyNumberFormat="1" applyFont="1" applyFill="1" applyBorder="1" applyAlignment="1">
      <alignment horizontal="center" vertical="center" wrapText="1"/>
    </xf>
  </cellXfs>
  <cellStyles count="5">
    <cellStyle name="Moeda" xfId="4" builtinId="4"/>
    <cellStyle name="Normal" xfId="0" builtinId="0"/>
    <cellStyle name="Porcentagem" xfId="3" builtinId="5"/>
    <cellStyle name="Ruim" xfId="2" builtinId="27"/>
    <cellStyle name="Título 3" xfId="1" builtinId="18"/>
  </cellStyles>
  <dxfs count="13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ill>
        <patternFill>
          <bgColor theme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166688</xdr:colOff>
      <xdr:row>0</xdr:row>
      <xdr:rowOff>95250</xdr:rowOff>
    </xdr:from>
    <xdr:to>
      <xdr:col>4</xdr:col>
      <xdr:colOff>23813</xdr:colOff>
      <xdr:row>2</xdr:row>
      <xdr:rowOff>107156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880ECB7-46B6-DF61-0DC7-7F4E60174EA4}"/>
            </a:ext>
          </a:extLst>
        </xdr:cNvPr>
        <xdr:cNvSpPr/>
      </xdr:nvSpPr>
      <xdr:spPr>
        <a:xfrm>
          <a:off x="357188" y="95250"/>
          <a:ext cx="2678906" cy="797719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PREENCHER COLUNAS VERDES	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328972</xdr:colOff>
      <xdr:row>9</xdr:row>
      <xdr:rowOff>23536</xdr:rowOff>
    </xdr:from>
    <xdr:to>
      <xdr:col>21</xdr:col>
      <xdr:colOff>428624</xdr:colOff>
      <xdr:row>38</xdr:row>
      <xdr:rowOff>171449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051C52-3FF4-43F6-7501-2C95D1EF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1122" y="1766611"/>
          <a:ext cx="10777177" cy="56914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57150</xdr:rowOff>
    </xdr:from>
    <xdr:to>
      <xdr:col>3</xdr:col>
      <xdr:colOff>140708</xdr:colOff>
      <xdr:row>1</xdr:row>
      <xdr:rowOff>552449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4875CB-A75C-41F5-986D-56D0C92AE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57150"/>
          <a:ext cx="1864733" cy="4952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inia.sharepoint.com/sites/5002664/Operao%20e%20Logstica/Engenharia%20+%20Manuneta&#231;&#227;o/BKP%20CARLOS/&#193;rea%20de%20Trabalho/EMBALAGEM/FAZER%20EMBALAGEM/PLANILHA%20FINAL%20EMBALAGEM%20-%20FINAL%20FINAL.xlsx" TargetMode="External"/><Relationship Id="rId1" Type="http://schemas.openxmlformats.org/officeDocument/2006/relationships/externalLinkPath" Target="https://phinia-my.sharepoint.com/sites/5002664/Operao%20e%20Logstica/Engenharia%20+%20Manuneta&#231;&#227;o/BKP%20CARLOS/&#193;rea%20de%20Trabalho/EMBALAGEM/FAZER%20EMBALAGEM/PLANILHA%20FINAL%20EMBALAGEM%20-%20FINAL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inia-my.sharepoint.com/personal/rknoblauch_phinia_com/Documents/KPI%20Recebimento%20e%20Expedi&#231;&#227;o.xlsx" TargetMode="External"/><Relationship Id="rId1" Type="http://schemas.openxmlformats.org/officeDocument/2006/relationships/externalLinkPath" Target="https://phinia-my.sharepoint.com/personal/rknoblauch_phinia_com/Documents/KPI%20Recebimento%20e%20Expedi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6iGTWK9juEuy9npzk5w6dv7jk7b95z9Alyy0SAy8MOZWF8Qst9iwRLnnmEsf3O5Q" itemId="01QE2JHEZSXJZZ7GBB65EJLFLFHRPUIW47">
      <xxl21:absoluteUrl r:id="rId2"/>
    </xxl21:alternateUrls>
    <sheetNames>
      <sheetName val="ITENS REMAN"/>
      <sheetName val="RESUMO"/>
      <sheetName val="META EMBALAGEM"/>
      <sheetName val="RESUMO POR PN (EDITANDO)"/>
      <sheetName val="PLANILHA GERAL"/>
      <sheetName val="EMBALAR(PREENCHER)"/>
      <sheetName val="MONITOR"/>
      <sheetName val="Em processo"/>
      <sheetName val="TOP 10 EMBALAR"/>
      <sheetName val="COLAR LX03"/>
      <sheetName val="CARTEIRA"/>
      <sheetName val="ARRUMAR RESUMO PN FILHO"/>
      <sheetName val="ESTRUTURA ITEM"/>
      <sheetName val="Backup item estrutura"/>
      <sheetName val="SOMA LX03"/>
      <sheetName val="DADOS PEÇAS"/>
      <sheetName val="ITENS SENSOR"/>
      <sheetName val="PN PAI E FILHO - LINHA"/>
      <sheetName val="PN PAI E FILHO - COLUNA"/>
      <sheetName val="EMBALANDO"/>
    </sheetNames>
    <sheetDataSet>
      <sheetData sheetId="0"/>
      <sheetData sheetId="1"/>
      <sheetData sheetId="2"/>
      <sheetData sheetId="3"/>
      <sheetData sheetId="4"/>
      <sheetData sheetId="5">
        <row r="2">
          <cell r="M2" t="str">
            <v xml:space="preserve"> Data</v>
          </cell>
          <cell r="N2" t="str">
            <v xml:space="preserve"> Qde a embalar</v>
          </cell>
        </row>
        <row r="3">
          <cell r="M3">
            <v>46246</v>
          </cell>
          <cell r="N3">
            <v>1814</v>
          </cell>
        </row>
        <row r="4">
          <cell r="M4">
            <v>46247</v>
          </cell>
          <cell r="N4">
            <v>2700</v>
          </cell>
        </row>
        <row r="5">
          <cell r="M5">
            <v>46248</v>
          </cell>
          <cell r="N5">
            <v>2758</v>
          </cell>
        </row>
        <row r="6">
          <cell r="M6">
            <v>46251</v>
          </cell>
          <cell r="N6">
            <v>810</v>
          </cell>
        </row>
        <row r="7">
          <cell r="M7">
            <v>46252</v>
          </cell>
          <cell r="N7">
            <v>1789</v>
          </cell>
        </row>
        <row r="8">
          <cell r="M8">
            <v>46253</v>
          </cell>
          <cell r="N8">
            <v>1656</v>
          </cell>
        </row>
        <row r="9">
          <cell r="M9">
            <v>46254</v>
          </cell>
          <cell r="N9">
            <v>2119</v>
          </cell>
        </row>
        <row r="10">
          <cell r="M10">
            <v>46255</v>
          </cell>
          <cell r="N10">
            <v>1561</v>
          </cell>
        </row>
        <row r="11">
          <cell r="M11">
            <v>46258</v>
          </cell>
          <cell r="N11">
            <v>2220</v>
          </cell>
        </row>
        <row r="12">
          <cell r="M12">
            <v>46259</v>
          </cell>
          <cell r="N12">
            <v>1543</v>
          </cell>
        </row>
        <row r="13">
          <cell r="M13">
            <v>46260</v>
          </cell>
          <cell r="N13">
            <v>1728</v>
          </cell>
        </row>
        <row r="14">
          <cell r="M14">
            <v>46261</v>
          </cell>
          <cell r="N14">
            <v>796</v>
          </cell>
        </row>
        <row r="15">
          <cell r="M15">
            <v>46262</v>
          </cell>
          <cell r="N15">
            <v>1113</v>
          </cell>
        </row>
        <row r="16">
          <cell r="M16">
            <v>46265</v>
          </cell>
          <cell r="N16">
            <v>856</v>
          </cell>
        </row>
        <row r="17">
          <cell r="M17">
            <v>46266</v>
          </cell>
          <cell r="N17">
            <v>2641</v>
          </cell>
        </row>
        <row r="18">
          <cell r="M18">
            <v>46267</v>
          </cell>
          <cell r="N18">
            <v>2149</v>
          </cell>
        </row>
        <row r="19">
          <cell r="M19">
            <v>46268</v>
          </cell>
          <cell r="N19">
            <v>4205</v>
          </cell>
        </row>
        <row r="20">
          <cell r="M20">
            <v>46269</v>
          </cell>
          <cell r="N20">
            <v>5887</v>
          </cell>
        </row>
        <row r="21">
          <cell r="M21">
            <v>46273</v>
          </cell>
          <cell r="N21">
            <v>2324</v>
          </cell>
        </row>
        <row r="22">
          <cell r="M22">
            <v>46274</v>
          </cell>
          <cell r="N22">
            <v>1874</v>
          </cell>
        </row>
        <row r="23">
          <cell r="M23">
            <v>46275</v>
          </cell>
          <cell r="N23">
            <v>3019</v>
          </cell>
        </row>
        <row r="24">
          <cell r="M24">
            <v>46276</v>
          </cell>
          <cell r="N24">
            <v>1266</v>
          </cell>
        </row>
        <row r="25">
          <cell r="M25">
            <v>46279</v>
          </cell>
          <cell r="N25">
            <v>3759</v>
          </cell>
        </row>
        <row r="26">
          <cell r="M26">
            <v>46280</v>
          </cell>
          <cell r="N26">
            <v>650</v>
          </cell>
        </row>
        <row r="27">
          <cell r="M27">
            <v>46281</v>
          </cell>
          <cell r="N27">
            <v>1535</v>
          </cell>
        </row>
        <row r="28">
          <cell r="M28">
            <v>46282</v>
          </cell>
          <cell r="N28">
            <v>681</v>
          </cell>
        </row>
        <row r="29">
          <cell r="M29">
            <v>46283</v>
          </cell>
          <cell r="N29">
            <v>950</v>
          </cell>
        </row>
        <row r="30">
          <cell r="M30">
            <v>46286</v>
          </cell>
          <cell r="N30">
            <v>3304</v>
          </cell>
        </row>
        <row r="31">
          <cell r="M31">
            <v>46287</v>
          </cell>
          <cell r="N31">
            <v>3337</v>
          </cell>
        </row>
        <row r="32">
          <cell r="M32">
            <v>46288</v>
          </cell>
          <cell r="N32">
            <v>4239</v>
          </cell>
        </row>
        <row r="33">
          <cell r="M33">
            <v>46289</v>
          </cell>
          <cell r="N33">
            <v>2380</v>
          </cell>
        </row>
        <row r="34">
          <cell r="M34">
            <v>46290</v>
          </cell>
          <cell r="N34">
            <v>5879</v>
          </cell>
        </row>
        <row r="35">
          <cell r="M35">
            <v>46293</v>
          </cell>
          <cell r="N35">
            <v>3209</v>
          </cell>
        </row>
        <row r="36">
          <cell r="M36">
            <v>46294</v>
          </cell>
          <cell r="N36">
            <v>1256</v>
          </cell>
        </row>
        <row r="37">
          <cell r="M37">
            <v>46295</v>
          </cell>
          <cell r="N37">
            <v>2343</v>
          </cell>
        </row>
        <row r="38">
          <cell r="M38">
            <v>46296</v>
          </cell>
          <cell r="N38">
            <v>2378</v>
          </cell>
        </row>
        <row r="39">
          <cell r="M39">
            <v>46297</v>
          </cell>
          <cell r="N39">
            <v>1293</v>
          </cell>
        </row>
        <row r="40">
          <cell r="M40">
            <v>46298</v>
          </cell>
          <cell r="N40"/>
        </row>
        <row r="41">
          <cell r="M41">
            <v>46300</v>
          </cell>
          <cell r="N41">
            <v>499</v>
          </cell>
        </row>
        <row r="42">
          <cell r="M42">
            <v>46301</v>
          </cell>
          <cell r="N42">
            <v>597</v>
          </cell>
        </row>
        <row r="43">
          <cell r="M43">
            <v>46302</v>
          </cell>
          <cell r="N43"/>
        </row>
        <row r="44">
          <cell r="M44">
            <v>46303</v>
          </cell>
          <cell r="N44"/>
        </row>
        <row r="45">
          <cell r="M45">
            <v>46304</v>
          </cell>
          <cell r="N45"/>
        </row>
        <row r="46">
          <cell r="M46">
            <v>46308</v>
          </cell>
          <cell r="N46">
            <v>58</v>
          </cell>
        </row>
        <row r="47">
          <cell r="M47">
            <v>46309</v>
          </cell>
          <cell r="N47">
            <v>866</v>
          </cell>
        </row>
        <row r="48">
          <cell r="M48">
            <v>46310</v>
          </cell>
          <cell r="N48"/>
        </row>
        <row r="49">
          <cell r="M49">
            <v>46311</v>
          </cell>
          <cell r="N49"/>
        </row>
        <row r="50">
          <cell r="M50">
            <v>46314</v>
          </cell>
          <cell r="N50"/>
        </row>
        <row r="51">
          <cell r="M51">
            <v>46315</v>
          </cell>
          <cell r="N51"/>
        </row>
        <row r="52">
          <cell r="M52">
            <v>46316</v>
          </cell>
          <cell r="N52"/>
        </row>
        <row r="53">
          <cell r="M53">
            <v>46317</v>
          </cell>
          <cell r="N53"/>
        </row>
        <row r="54">
          <cell r="M54">
            <v>46318</v>
          </cell>
          <cell r="N54"/>
        </row>
        <row r="55">
          <cell r="M55">
            <v>46321</v>
          </cell>
          <cell r="N55"/>
        </row>
        <row r="56">
          <cell r="M56">
            <v>46322</v>
          </cell>
          <cell r="N56"/>
        </row>
        <row r="57">
          <cell r="M57">
            <v>46323</v>
          </cell>
          <cell r="N57"/>
        </row>
        <row r="58">
          <cell r="M58">
            <v>46324</v>
          </cell>
          <cell r="N58"/>
        </row>
        <row r="59">
          <cell r="M59">
            <v>46325</v>
          </cell>
          <cell r="N59"/>
        </row>
        <row r="60">
          <cell r="M60">
            <v>46329</v>
          </cell>
          <cell r="N60"/>
        </row>
        <row r="61">
          <cell r="M61">
            <v>46330</v>
          </cell>
          <cell r="N61"/>
        </row>
        <row r="62">
          <cell r="M62">
            <v>46331</v>
          </cell>
          <cell r="N62"/>
        </row>
        <row r="63">
          <cell r="M63">
            <v>46332</v>
          </cell>
          <cell r="N63"/>
        </row>
        <row r="64">
          <cell r="M64">
            <v>46335</v>
          </cell>
          <cell r="N64"/>
        </row>
        <row r="65">
          <cell r="M65">
            <v>46336</v>
          </cell>
          <cell r="N65"/>
        </row>
        <row r="66">
          <cell r="M66">
            <v>46337</v>
          </cell>
          <cell r="N66"/>
        </row>
        <row r="67">
          <cell r="M67">
            <v>46338</v>
          </cell>
          <cell r="N67"/>
        </row>
        <row r="68">
          <cell r="M68">
            <v>46339</v>
          </cell>
          <cell r="N68"/>
        </row>
        <row r="69">
          <cell r="M69">
            <v>46342</v>
          </cell>
          <cell r="N69"/>
        </row>
        <row r="70">
          <cell r="M70">
            <v>46343</v>
          </cell>
          <cell r="N70"/>
        </row>
        <row r="71">
          <cell r="M71">
            <v>46344</v>
          </cell>
          <cell r="N71"/>
        </row>
        <row r="72">
          <cell r="M72">
            <v>46345</v>
          </cell>
          <cell r="N72"/>
        </row>
        <row r="73">
          <cell r="M73">
            <v>46349</v>
          </cell>
          <cell r="N73"/>
        </row>
        <row r="74">
          <cell r="M74">
            <v>46350</v>
          </cell>
          <cell r="N74"/>
        </row>
        <row r="75">
          <cell r="M75">
            <v>46351</v>
          </cell>
          <cell r="N75"/>
        </row>
        <row r="76">
          <cell r="M76">
            <v>46352</v>
          </cell>
          <cell r="N76"/>
        </row>
        <row r="77">
          <cell r="M77">
            <v>46353</v>
          </cell>
          <cell r="N77"/>
        </row>
        <row r="78">
          <cell r="M78">
            <v>46356</v>
          </cell>
          <cell r="N78"/>
        </row>
        <row r="79">
          <cell r="M79">
            <v>46357</v>
          </cell>
          <cell r="N79"/>
        </row>
        <row r="80">
          <cell r="M80">
            <v>46358</v>
          </cell>
          <cell r="N80"/>
        </row>
        <row r="81">
          <cell r="M81">
            <v>46359</v>
          </cell>
          <cell r="N81"/>
        </row>
        <row r="82">
          <cell r="M82">
            <v>46360</v>
          </cell>
          <cell r="N82"/>
        </row>
        <row r="83">
          <cell r="M83">
            <v>46363</v>
          </cell>
          <cell r="N83"/>
        </row>
        <row r="84">
          <cell r="M84">
            <v>46365</v>
          </cell>
          <cell r="N84"/>
        </row>
        <row r="85">
          <cell r="M85">
            <v>46366</v>
          </cell>
          <cell r="N85"/>
        </row>
        <row r="86">
          <cell r="M86">
            <v>46367</v>
          </cell>
          <cell r="N86"/>
        </row>
        <row r="87">
          <cell r="M87">
            <v>46370</v>
          </cell>
          <cell r="N87"/>
        </row>
        <row r="88">
          <cell r="M88">
            <v>46371</v>
          </cell>
          <cell r="N88"/>
        </row>
        <row r="89">
          <cell r="M89">
            <v>46372</v>
          </cell>
          <cell r="N89"/>
        </row>
        <row r="90">
          <cell r="M90">
            <v>46373</v>
          </cell>
          <cell r="N90"/>
        </row>
        <row r="91">
          <cell r="M91">
            <v>46374</v>
          </cell>
          <cell r="N91"/>
        </row>
        <row r="92">
          <cell r="M92">
            <v>46377</v>
          </cell>
          <cell r="N92"/>
        </row>
        <row r="93">
          <cell r="M93">
            <v>46378</v>
          </cell>
          <cell r="N93"/>
        </row>
        <row r="94">
          <cell r="M94">
            <v>46379</v>
          </cell>
          <cell r="N94"/>
        </row>
        <row r="95">
          <cell r="M95">
            <v>46380</v>
          </cell>
          <cell r="N95"/>
        </row>
        <row r="96">
          <cell r="M96">
            <v>46381</v>
          </cell>
          <cell r="N96"/>
        </row>
        <row r="97">
          <cell r="M97">
            <v>46382</v>
          </cell>
          <cell r="N97"/>
        </row>
        <row r="98">
          <cell r="M98">
            <v>46384</v>
          </cell>
          <cell r="N98"/>
        </row>
        <row r="99">
          <cell r="M99">
            <v>46385</v>
          </cell>
          <cell r="N99"/>
        </row>
        <row r="100">
          <cell r="M100">
            <v>46386</v>
          </cell>
          <cell r="N100"/>
        </row>
        <row r="101">
          <cell r="M101">
            <v>46387</v>
          </cell>
          <cell r="N101"/>
        </row>
        <row r="102">
          <cell r="M102" t="str">
            <v>(vazio)</v>
          </cell>
          <cell r="N102"/>
        </row>
        <row r="103">
          <cell r="M103">
            <v>46272</v>
          </cell>
          <cell r="N103"/>
        </row>
        <row r="104">
          <cell r="M104" t="str">
            <v>Total Geral</v>
          </cell>
          <cell r="N104">
            <v>86041</v>
          </cell>
        </row>
        <row r="338">
          <cell r="M338" t="str">
            <v>ES20331-13B1</v>
          </cell>
          <cell r="N338">
            <v>1600</v>
          </cell>
        </row>
        <row r="339">
          <cell r="M339" t="str">
            <v>7139-540-13B1</v>
          </cell>
          <cell r="N339">
            <v>116</v>
          </cell>
        </row>
        <row r="340">
          <cell r="M340" t="str">
            <v>7139-362-13B2</v>
          </cell>
          <cell r="N340">
            <v>6</v>
          </cell>
        </row>
        <row r="341">
          <cell r="M341" t="str">
            <v>7123-294L-13B1</v>
          </cell>
          <cell r="N341">
            <v>6</v>
          </cell>
        </row>
        <row r="342">
          <cell r="M342" t="str">
            <v>7139-010A-13B1</v>
          </cell>
          <cell r="N342">
            <v>5</v>
          </cell>
        </row>
        <row r="454">
          <cell r="M454" t="str">
            <v>28342997-13B2</v>
          </cell>
          <cell r="N454">
            <v>1328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pJZQVuBW0KHGoX5A-09AJ2oEK0VeqlAk5wpG_dn9nNBOj4PUp3NSZx6b6aFQmsT" itemId="01ZMCMTNYEFHJXKAXXXBHL4OMIBGE553IZ">
      <xxl21:absoluteUrl r:id="rId2"/>
    </xxl21:alternateUrls>
    <sheetNames>
      <sheetName val="MAIO"/>
      <sheetName val="JUNHO"/>
      <sheetName val="JULHO"/>
      <sheetName val="AGOSTO"/>
      <sheetName val="SETEMBRO"/>
      <sheetName val="OUTUBRO"/>
    </sheetNames>
    <sheetDataSet>
      <sheetData sheetId="0"/>
      <sheetData sheetId="1"/>
      <sheetData sheetId="2"/>
      <sheetData sheetId="3"/>
      <sheetData sheetId="4">
        <row r="9">
          <cell r="W9" t="str">
            <v>TOTAL RECEBIDO</v>
          </cell>
        </row>
        <row r="16">
          <cell r="W16" t="str">
            <v>TT   REC / EMBAL</v>
          </cell>
        </row>
        <row r="20">
          <cell r="W20">
            <v>67366</v>
          </cell>
        </row>
      </sheetData>
      <sheetData sheetId="5">
        <row r="9">
          <cell r="W9" t="str">
            <v>TOTAL RECEBIDO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reira, Clodoaldo (Piracicaba)" id="{A461D960-C726-42CE-87CE-DC80524FC59E}" userId="S::cmoreira@phinia.com::1d849871-f945-4c81-91b9-65f9844e1225" providerId="AD"/>
  <person displayName="Sunhiga, Ricardo F (Piracicaba)" id="{C588D214-4A76-4738-B4C3-F95C58800183}" userId="S::rsunhiga@phinia.com::0de08540-4191-4020-94f3-bdbb2f7980d4" providerId="AD"/>
  <person displayName="Ramos, Sergio (Piracicaba)" id="{548CEBF5-4D77-49DC-986A-83BB11D2B598}" userId="S::serramos@phinia.com::8f14ff1f-496e-4b40-96ee-f29df3854e9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os, Sergio (Piracicaba)" refreshedDate="46205.35049016204" createdVersion="8" refreshedVersion="8" minRefreshableVersion="3" recordCount="49" xr:uid="{CF3A9C22-8881-4D83-9638-6A41E1ECD862}">
  <cacheSource type="worksheet">
    <worksheetSource ref="B4:G53" sheet="MO - 02-07"/>
  </cacheSource>
  <cacheFields count="6">
    <cacheField name="Seq" numFmtId="0">
      <sharedItems containsSemiMixedTypes="0" containsString="0" containsNumber="1" containsInteger="1" minValue="1" maxValue="49"/>
    </cacheField>
    <cacheField name="Nome" numFmtId="0">
      <sharedItems count="49">
        <s v="Adrian Fernandes Felippe"/>
        <s v="Adriel Marques Rocha"/>
        <s v="Ariel Henrique Goian"/>
        <s v="Claudio Rodrigues Junior"/>
        <s v="Clodoaldo Fernando Moreira"/>
        <s v="Daniel Rodrigues Ferreira"/>
        <s v="Dionisio Martins Peralta Junior"/>
        <s v="Edilvana Maestro Fortarell"/>
        <s v="Fabio Henrique Alves Almeida"/>
        <s v="Felipe Pinheiro Franca"/>
        <s v="Flavio Biasini Bortoletto"/>
        <s v="Francisca Samila Batista Dos Santos"/>
        <s v="Guilherme Alexandre Sant Ana"/>
        <s v="Hitalo Oliveira Santos"/>
        <s v="Isabela Gimenes Dos Santos"/>
        <s v="Isabella Goncalves Bresciani"/>
        <s v="Jair Jaires Lima"/>
        <s v="Jefferson Mantovani Martins"/>
        <s v="Jennifer Driele Da Silva"/>
        <s v="Jhonatthas Moura"/>
        <s v="Joao Pedro Messias"/>
        <s v="Joao Pedro Souza Dos Santos"/>
        <s v="Joao Vitor Oliveira Carvalho Reis"/>
        <s v="Jorge Telmo De Almeida"/>
        <s v="Jose Alan Nogueira Da Silva"/>
        <s v="Lucas Zangarelli Rocha"/>
        <s v="Luis Roberto Polloni"/>
        <s v="Luiz Gustavo Cunha"/>
        <s v="Maciel Menochelli"/>
        <s v="Marcio Quicine Martins De Moraes"/>
        <s v="Marco Antonio Svazati"/>
        <s v="Mateus Lage Barroso"/>
        <s v="Pedro Henrique Stenico"/>
        <s v="Rafael De Souza Goncalves"/>
        <s v="Raphael Gustinelli Bicudo"/>
        <s v="Ricardo Sunhiga"/>
        <s v="Richard Von Knoblauch"/>
        <s v="Roberta Tucunduva"/>
        <s v="Roberto Carlos Zambello"/>
        <s v="Salomao Cipriano Passos"/>
        <s v="Sergio Augusto Ramos"/>
        <s v="Tiago Ranieri Anselmo De Oliveira"/>
        <s v="Vilma Pereira Da Cruz Silva"/>
        <s v="Winster Patric Gomes Dos Santos"/>
        <s v="João Vicot Ymanaka - Estagiário"/>
        <s v="Marcelo  - CIEE"/>
        <s v="Mara Antónia Santos Castro - FORMAR"/>
        <s v="Taina Rondoni dos Santos - FORMAR"/>
        <s v="Yasmin  Rafael- CIEE"/>
      </sharedItems>
    </cacheField>
    <cacheField name="REG" numFmtId="0">
      <sharedItems containsMixedTypes="1" containsNumber="1" containsInteger="1" minValue="15" maxValue="875" count="46">
        <n v="343"/>
        <n v="350"/>
        <n v="372"/>
        <n v="274"/>
        <n v="19"/>
        <n v="212"/>
        <n v="232"/>
        <n v="15"/>
        <n v="354"/>
        <n v="311"/>
        <n v="224"/>
        <n v="329"/>
        <n v="331"/>
        <n v="296"/>
        <n v="320"/>
        <n v="344"/>
        <n v="226"/>
        <n v="208"/>
        <n v="336"/>
        <n v="875"/>
        <n v="308"/>
        <n v="229"/>
        <n v="357"/>
        <n v="219"/>
        <n v="275"/>
        <n v="298"/>
        <n v="181"/>
        <n v="272"/>
        <n v="371"/>
        <n v="73"/>
        <n v="362"/>
        <n v="153"/>
        <n v="314"/>
        <n v="303"/>
        <n v="171"/>
        <n v="16"/>
        <n v="70"/>
        <n v="359"/>
        <n v="47"/>
        <n v="355"/>
        <n v="105"/>
        <n v="318"/>
        <n v="304"/>
        <n v="149"/>
        <s v="Estagiário"/>
        <s v="CIEE"/>
      </sharedItems>
    </cacheField>
    <cacheField name="Local" numFmtId="0">
      <sharedItems count="15">
        <s v="Operação"/>
        <s v="Garantia"/>
        <s v="Manutenção"/>
        <s v="Sensor"/>
        <s v="Coordenador"/>
        <s v="Embalagem"/>
        <s v="Reman"/>
        <s v="Linc"/>
        <s v="Liderança"/>
        <s v="Transporte"/>
        <s v="Gestor"/>
        <s v="Recebimento"/>
        <s v="Estagiário"/>
        <s v="CIEE"/>
        <s v="Engenharia" u="1"/>
      </sharedItems>
    </cacheField>
    <cacheField name="qtde" numFmtId="0">
      <sharedItems containsSemiMixedTypes="0" containsString="0" containsNumber="1" containsInteger="1" minValue="1" maxValue="1"/>
    </cacheField>
    <cacheField name="responsável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1"/>
    <x v="0"/>
    <x v="0"/>
    <x v="0"/>
    <n v="1"/>
    <s v="Clodoaldo"/>
  </r>
  <r>
    <n v="2"/>
    <x v="1"/>
    <x v="1"/>
    <x v="1"/>
    <n v="1"/>
    <s v="Sérgio"/>
  </r>
  <r>
    <n v="3"/>
    <x v="2"/>
    <x v="2"/>
    <x v="2"/>
    <n v="1"/>
    <s v="Sérgio"/>
  </r>
  <r>
    <n v="4"/>
    <x v="3"/>
    <x v="3"/>
    <x v="3"/>
    <n v="1"/>
    <s v="Sérgio"/>
  </r>
  <r>
    <n v="5"/>
    <x v="4"/>
    <x v="4"/>
    <x v="4"/>
    <n v="1"/>
    <s v="Ricardo"/>
  </r>
  <r>
    <n v="6"/>
    <x v="5"/>
    <x v="5"/>
    <x v="5"/>
    <n v="1"/>
    <s v="Clodoaldo"/>
  </r>
  <r>
    <n v="7"/>
    <x v="6"/>
    <x v="6"/>
    <x v="0"/>
    <n v="1"/>
    <s v="Clodoaldo"/>
  </r>
  <r>
    <n v="8"/>
    <x v="7"/>
    <x v="7"/>
    <x v="1"/>
    <n v="1"/>
    <s v="Sérgio"/>
  </r>
  <r>
    <n v="9"/>
    <x v="8"/>
    <x v="8"/>
    <x v="0"/>
    <n v="1"/>
    <s v="Clodoaldo"/>
  </r>
  <r>
    <n v="10"/>
    <x v="9"/>
    <x v="9"/>
    <x v="6"/>
    <n v="1"/>
    <s v="Sérgio"/>
  </r>
  <r>
    <n v="11"/>
    <x v="10"/>
    <x v="10"/>
    <x v="4"/>
    <n v="1"/>
    <s v="Ricardo"/>
  </r>
  <r>
    <n v="12"/>
    <x v="11"/>
    <x v="11"/>
    <x v="0"/>
    <n v="1"/>
    <s v="Clodoaldo"/>
  </r>
  <r>
    <n v="13"/>
    <x v="12"/>
    <x v="12"/>
    <x v="0"/>
    <n v="1"/>
    <s v="Clodoaldo"/>
  </r>
  <r>
    <n v="14"/>
    <x v="13"/>
    <x v="13"/>
    <x v="6"/>
    <n v="1"/>
    <s v="Sérgio"/>
  </r>
  <r>
    <n v="15"/>
    <x v="14"/>
    <x v="14"/>
    <x v="7"/>
    <n v="1"/>
    <s v="Marcio"/>
  </r>
  <r>
    <n v="16"/>
    <x v="15"/>
    <x v="15"/>
    <x v="7"/>
    <n v="1"/>
    <s v="Marcio"/>
  </r>
  <r>
    <n v="17"/>
    <x v="16"/>
    <x v="16"/>
    <x v="6"/>
    <n v="1"/>
    <s v="Sérgio"/>
  </r>
  <r>
    <n v="18"/>
    <x v="17"/>
    <x v="17"/>
    <x v="0"/>
    <n v="1"/>
    <s v="Clodoaldo"/>
  </r>
  <r>
    <n v="19"/>
    <x v="18"/>
    <x v="18"/>
    <x v="7"/>
    <n v="1"/>
    <s v="Marcio"/>
  </r>
  <r>
    <n v="20"/>
    <x v="19"/>
    <x v="19"/>
    <x v="0"/>
    <n v="1"/>
    <s v="Clodoaldo"/>
  </r>
  <r>
    <n v="21"/>
    <x v="20"/>
    <x v="20"/>
    <x v="1"/>
    <n v="1"/>
    <s v="Sérgio"/>
  </r>
  <r>
    <n v="22"/>
    <x v="21"/>
    <x v="21"/>
    <x v="0"/>
    <n v="1"/>
    <s v="Clodoaldo"/>
  </r>
  <r>
    <n v="23"/>
    <x v="22"/>
    <x v="22"/>
    <x v="0"/>
    <n v="1"/>
    <s v="Clodoaldo"/>
  </r>
  <r>
    <n v="24"/>
    <x v="23"/>
    <x v="23"/>
    <x v="0"/>
    <n v="1"/>
    <s v="Clodoaldo"/>
  </r>
  <r>
    <n v="25"/>
    <x v="24"/>
    <x v="24"/>
    <x v="3"/>
    <n v="1"/>
    <s v="Sérgio"/>
  </r>
  <r>
    <n v="26"/>
    <x v="25"/>
    <x v="25"/>
    <x v="6"/>
    <n v="1"/>
    <s v="Sérgio"/>
  </r>
  <r>
    <n v="27"/>
    <x v="26"/>
    <x v="26"/>
    <x v="2"/>
    <n v="1"/>
    <s v="Sérgio"/>
  </r>
  <r>
    <n v="28"/>
    <x v="27"/>
    <x v="27"/>
    <x v="2"/>
    <n v="1"/>
    <s v="Sérgio"/>
  </r>
  <r>
    <n v="29"/>
    <x v="28"/>
    <x v="28"/>
    <x v="0"/>
    <n v="1"/>
    <s v="Clodoaldo"/>
  </r>
  <r>
    <n v="30"/>
    <x v="29"/>
    <x v="29"/>
    <x v="4"/>
    <n v="1"/>
    <s v="Marcio"/>
  </r>
  <r>
    <n v="31"/>
    <x v="30"/>
    <x v="30"/>
    <x v="0"/>
    <n v="1"/>
    <s v="Clodoaldo"/>
  </r>
  <r>
    <n v="32"/>
    <x v="31"/>
    <x v="31"/>
    <x v="8"/>
    <n v="1"/>
    <s v="Sérgio"/>
  </r>
  <r>
    <n v="33"/>
    <x v="32"/>
    <x v="32"/>
    <x v="0"/>
    <n v="1"/>
    <s v="Clodoaldo"/>
  </r>
  <r>
    <n v="34"/>
    <x v="33"/>
    <x v="33"/>
    <x v="9"/>
    <n v="1"/>
    <s v="Marcio"/>
  </r>
  <r>
    <n v="35"/>
    <x v="34"/>
    <x v="34"/>
    <x v="8"/>
    <n v="1"/>
    <s v="Clodoaldo"/>
  </r>
  <r>
    <n v="36"/>
    <x v="35"/>
    <x v="35"/>
    <x v="10"/>
    <n v="1"/>
    <s v="Ricardo"/>
  </r>
  <r>
    <n v="37"/>
    <x v="36"/>
    <x v="36"/>
    <x v="8"/>
    <n v="1"/>
    <s v="Clodoaldo"/>
  </r>
  <r>
    <n v="38"/>
    <x v="37"/>
    <x v="37"/>
    <x v="7"/>
    <n v="1"/>
    <s v="Marcio"/>
  </r>
  <r>
    <n v="39"/>
    <x v="38"/>
    <x v="38"/>
    <x v="8"/>
    <n v="1"/>
    <s v="Clodoaldo"/>
  </r>
  <r>
    <n v="40"/>
    <x v="39"/>
    <x v="39"/>
    <x v="0"/>
    <n v="1"/>
    <s v="Clodoaldo"/>
  </r>
  <r>
    <n v="41"/>
    <x v="40"/>
    <x v="40"/>
    <x v="4"/>
    <n v="1"/>
    <s v="Sérgio"/>
  </r>
  <r>
    <n v="42"/>
    <x v="41"/>
    <x v="41"/>
    <x v="7"/>
    <n v="1"/>
    <s v="Marcio"/>
  </r>
  <r>
    <n v="43"/>
    <x v="42"/>
    <x v="42"/>
    <x v="0"/>
    <n v="1"/>
    <s v="Clodoaldo"/>
  </r>
  <r>
    <n v="44"/>
    <x v="43"/>
    <x v="43"/>
    <x v="11"/>
    <n v="1"/>
    <s v="Clodoaldo"/>
  </r>
  <r>
    <n v="45"/>
    <x v="44"/>
    <x v="44"/>
    <x v="12"/>
    <n v="1"/>
    <s v="Marcio"/>
  </r>
  <r>
    <n v="46"/>
    <x v="45"/>
    <x v="45"/>
    <x v="13"/>
    <n v="1"/>
    <s v="Clodoaldo"/>
  </r>
  <r>
    <n v="47"/>
    <x v="46"/>
    <x v="45"/>
    <x v="13"/>
    <n v="1"/>
    <s v="Clodoaldo"/>
  </r>
  <r>
    <n v="48"/>
    <x v="47"/>
    <x v="45"/>
    <x v="13"/>
    <n v="1"/>
    <s v="Clodoaldo"/>
  </r>
  <r>
    <n v="49"/>
    <x v="48"/>
    <x v="45"/>
    <x v="13"/>
    <n v="1"/>
    <s v="Clodoal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DD0A3-6F8B-4B0C-BFA7-DFF765221B9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6:J70" firstHeaderRow="1" firstDataRow="1" firstDataCol="1"/>
  <pivotFields count="6">
    <pivotField showAll="0"/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44"/>
        <item x="22"/>
        <item x="23"/>
        <item x="24"/>
        <item x="25"/>
        <item x="26"/>
        <item x="27"/>
        <item x="28"/>
        <item x="46"/>
        <item x="45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7"/>
        <item x="41"/>
        <item x="42"/>
        <item x="43"/>
        <item x="48"/>
        <item t="default"/>
      </items>
    </pivotField>
    <pivotField showAll="0">
      <items count="47">
        <item x="7"/>
        <item x="35"/>
        <item x="4"/>
        <item x="38"/>
        <item x="36"/>
        <item x="29"/>
        <item x="40"/>
        <item x="43"/>
        <item x="31"/>
        <item x="34"/>
        <item x="26"/>
        <item x="17"/>
        <item x="5"/>
        <item x="23"/>
        <item x="10"/>
        <item x="16"/>
        <item x="21"/>
        <item x="6"/>
        <item x="27"/>
        <item x="3"/>
        <item x="24"/>
        <item x="13"/>
        <item x="25"/>
        <item x="33"/>
        <item x="42"/>
        <item x="20"/>
        <item x="9"/>
        <item x="32"/>
        <item x="41"/>
        <item x="14"/>
        <item x="11"/>
        <item x="12"/>
        <item x="18"/>
        <item x="0"/>
        <item x="15"/>
        <item x="1"/>
        <item x="8"/>
        <item x="39"/>
        <item x="22"/>
        <item x="37"/>
        <item x="30"/>
        <item x="28"/>
        <item x="2"/>
        <item x="19"/>
        <item x="45"/>
        <item x="44"/>
        <item t="default"/>
      </items>
    </pivotField>
    <pivotField axis="axisRow" showAll="0" sortType="ascending">
      <items count="16">
        <item x="13"/>
        <item x="4"/>
        <item x="5"/>
        <item m="1" x="14"/>
        <item x="12"/>
        <item x="1"/>
        <item x="10"/>
        <item x="8"/>
        <item x="7"/>
        <item x="2"/>
        <item x="0"/>
        <item x="11"/>
        <item x="6"/>
        <item x="3"/>
        <item x="9"/>
        <item t="default"/>
      </items>
    </pivotField>
    <pivotField dataField="1" showAll="0"/>
    <pivotField showAll="0"/>
  </pivotFields>
  <rowFields count="2">
    <field x="3"/>
    <field x="1"/>
  </rowFields>
  <rowItems count="64">
    <i>
      <x/>
    </i>
    <i r="1">
      <x v="30"/>
    </i>
    <i r="1">
      <x v="31"/>
    </i>
    <i r="1">
      <x v="44"/>
    </i>
    <i r="1">
      <x v="48"/>
    </i>
    <i>
      <x v="1"/>
    </i>
    <i r="1">
      <x v="4"/>
    </i>
    <i r="1">
      <x v="10"/>
    </i>
    <i r="1">
      <x v="32"/>
    </i>
    <i r="1">
      <x v="43"/>
    </i>
    <i>
      <x v="2"/>
    </i>
    <i r="1">
      <x v="5"/>
    </i>
    <i>
      <x v="4"/>
    </i>
    <i r="1">
      <x v="22"/>
    </i>
    <i>
      <x v="5"/>
    </i>
    <i r="1">
      <x v="1"/>
    </i>
    <i r="1">
      <x v="7"/>
    </i>
    <i r="1">
      <x v="20"/>
    </i>
    <i>
      <x v="6"/>
    </i>
    <i r="1">
      <x v="38"/>
    </i>
    <i>
      <x v="7"/>
    </i>
    <i r="1">
      <x v="34"/>
    </i>
    <i r="1">
      <x v="37"/>
    </i>
    <i r="1">
      <x v="39"/>
    </i>
    <i r="1">
      <x v="41"/>
    </i>
    <i>
      <x v="8"/>
    </i>
    <i r="1">
      <x v="14"/>
    </i>
    <i r="1">
      <x v="15"/>
    </i>
    <i r="1">
      <x v="18"/>
    </i>
    <i r="1">
      <x v="40"/>
    </i>
    <i r="1">
      <x v="45"/>
    </i>
    <i>
      <x v="9"/>
    </i>
    <i r="1">
      <x v="2"/>
    </i>
    <i r="1">
      <x v="27"/>
    </i>
    <i r="1">
      <x v="28"/>
    </i>
    <i>
      <x v="10"/>
    </i>
    <i r="1">
      <x/>
    </i>
    <i r="1">
      <x v="6"/>
    </i>
    <i r="1">
      <x v="8"/>
    </i>
    <i r="1">
      <x v="11"/>
    </i>
    <i r="1">
      <x v="12"/>
    </i>
    <i r="1">
      <x v="17"/>
    </i>
    <i r="1">
      <x v="19"/>
    </i>
    <i r="1">
      <x v="21"/>
    </i>
    <i r="1">
      <x v="23"/>
    </i>
    <i r="1">
      <x v="24"/>
    </i>
    <i r="1">
      <x v="29"/>
    </i>
    <i r="1">
      <x v="33"/>
    </i>
    <i r="1">
      <x v="35"/>
    </i>
    <i r="1">
      <x v="42"/>
    </i>
    <i r="1">
      <x v="46"/>
    </i>
    <i>
      <x v="11"/>
    </i>
    <i r="1">
      <x v="47"/>
    </i>
    <i>
      <x v="12"/>
    </i>
    <i r="1">
      <x v="9"/>
    </i>
    <i r="1">
      <x v="13"/>
    </i>
    <i r="1">
      <x v="16"/>
    </i>
    <i r="1">
      <x v="26"/>
    </i>
    <i>
      <x v="13"/>
    </i>
    <i r="1">
      <x v="3"/>
    </i>
    <i r="1">
      <x v="25"/>
    </i>
    <i>
      <x v="14"/>
    </i>
    <i r="1">
      <x v="36"/>
    </i>
    <i t="grand">
      <x/>
    </i>
  </rowItems>
  <colItems count="1">
    <i/>
  </colItems>
  <dataFields count="1">
    <dataField name="Soma de qtde" fld="4" baseField="0" baseItem="0"/>
  </dataFields>
  <formats count="116">
    <format dxfId="133">
      <pivotArea dataOnly="0" fieldPosition="0">
        <references count="1">
          <reference field="1" count="4">
            <x v="30"/>
            <x v="31"/>
            <x v="44"/>
            <x v="48"/>
          </reference>
        </references>
      </pivotArea>
    </format>
    <format dxfId="132">
      <pivotArea dataOnly="0" fieldPosition="0">
        <references count="1">
          <reference field="1" count="4">
            <x v="30"/>
            <x v="31"/>
            <x v="44"/>
            <x v="48"/>
          </reference>
        </references>
      </pivotArea>
    </format>
    <format dxfId="131">
      <pivotArea collapsedLevelsAreSubtotals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30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3" type="button" dataOnly="0" labelOnly="1" outline="0" axis="axisRow" fieldPosition="0"/>
    </format>
    <format dxfId="126">
      <pivotArea dataOnly="0" labelOnly="1" fieldPosition="0">
        <references count="1">
          <reference field="3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2">
          <reference field="1" count="4">
            <x v="30"/>
            <x v="31"/>
            <x v="44"/>
            <x v="48"/>
          </reference>
          <reference field="3" count="1" selected="0">
            <x v="0"/>
          </reference>
        </references>
      </pivotArea>
    </format>
    <format dxfId="123">
      <pivotArea dataOnly="0" labelOnly="1" fieldPosition="0">
        <references count="2">
          <reference field="1" count="4">
            <x v="4"/>
            <x v="10"/>
            <x v="32"/>
            <x v="43"/>
          </reference>
          <reference field="3" count="1" selected="0">
            <x v="1"/>
          </reference>
        </references>
      </pivotArea>
    </format>
    <format dxfId="122">
      <pivotArea dataOnly="0" labelOnly="1" fieldPosition="0">
        <references count="2">
          <reference field="1" count="1">
            <x v="5"/>
          </reference>
          <reference field="3" count="1" selected="0">
            <x v="2"/>
          </reference>
        </references>
      </pivotArea>
    </format>
    <format dxfId="121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20">
      <pivotArea dataOnly="0" labelOnly="1" fieldPosition="0">
        <references count="2">
          <reference field="1" count="3">
            <x v="1"/>
            <x v="7"/>
            <x v="20"/>
          </reference>
          <reference field="3" count="1" selected="0">
            <x v="5"/>
          </reference>
        </references>
      </pivotArea>
    </format>
    <format dxfId="119">
      <pivotArea dataOnly="0" labelOnly="1" fieldPosition="0">
        <references count="2">
          <reference field="1" count="1">
            <x v="38"/>
          </reference>
          <reference field="3" count="1" selected="0">
            <x v="6"/>
          </reference>
        </references>
      </pivotArea>
    </format>
    <format dxfId="118">
      <pivotArea dataOnly="0" labelOnly="1" fieldPosition="0">
        <references count="2">
          <reference field="1" count="4">
            <x v="34"/>
            <x v="37"/>
            <x v="39"/>
            <x v="41"/>
          </reference>
          <reference field="3" count="1" selected="0">
            <x v="7"/>
          </reference>
        </references>
      </pivotArea>
    </format>
    <format dxfId="117">
      <pivotArea dataOnly="0" labelOnly="1" fieldPosition="0">
        <references count="2">
          <reference field="1" count="5">
            <x v="14"/>
            <x v="15"/>
            <x v="18"/>
            <x v="40"/>
            <x v="45"/>
          </reference>
          <reference field="3" count="1" selected="0">
            <x v="8"/>
          </reference>
        </references>
      </pivotArea>
    </format>
    <format dxfId="116">
      <pivotArea dataOnly="0" labelOnly="1" fieldPosition="0">
        <references count="2">
          <reference field="1" count="3">
            <x v="2"/>
            <x v="27"/>
            <x v="28"/>
          </reference>
          <reference field="3" count="1" selected="0">
            <x v="9"/>
          </reference>
        </references>
      </pivotArea>
    </format>
    <format dxfId="115">
      <pivotArea dataOnly="0" labelOnly="1" fieldPosition="0">
        <references count="2">
          <reference field="1" count="15">
            <x v="0"/>
            <x v="6"/>
            <x v="8"/>
            <x v="11"/>
            <x v="12"/>
            <x v="17"/>
            <x v="19"/>
            <x v="21"/>
            <x v="23"/>
            <x v="24"/>
            <x v="29"/>
            <x v="33"/>
            <x v="35"/>
            <x v="42"/>
            <x v="46"/>
          </reference>
          <reference field="3" count="1" selected="0">
            <x v="10"/>
          </reference>
        </references>
      </pivotArea>
    </format>
    <format dxfId="114">
      <pivotArea dataOnly="0" labelOnly="1" fieldPosition="0">
        <references count="2">
          <reference field="1" count="1">
            <x v="47"/>
          </reference>
          <reference field="3" count="1" selected="0">
            <x v="11"/>
          </reference>
        </references>
      </pivotArea>
    </format>
    <format dxfId="113">
      <pivotArea dataOnly="0" labelOnly="1" fieldPosition="0">
        <references count="2">
          <reference field="1" count="4">
            <x v="9"/>
            <x v="13"/>
            <x v="16"/>
            <x v="26"/>
          </reference>
          <reference field="3" count="1" selected="0">
            <x v="12"/>
          </reference>
        </references>
      </pivotArea>
    </format>
    <format dxfId="112">
      <pivotArea dataOnly="0" labelOnly="1" fieldPosition="0">
        <references count="2">
          <reference field="1" count="2">
            <x v="3"/>
            <x v="25"/>
          </reference>
          <reference field="3" count="1" selected="0">
            <x v="13"/>
          </reference>
        </references>
      </pivotArea>
    </format>
    <format dxfId="111">
      <pivotArea dataOnly="0" labelOnly="1" fieldPosition="0">
        <references count="2">
          <reference field="1" count="1">
            <x v="36"/>
          </reference>
          <reference field="3" count="1" selected="0">
            <x v="14"/>
          </reference>
        </references>
      </pivotArea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dataOnly="0" labelOnly="1" fieldPosition="0">
        <references count="1">
          <reference field="3" count="0"/>
        </references>
      </pivotArea>
    </format>
    <format dxfId="107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06">
      <pivotArea dataOnly="0" fieldPosition="0">
        <references count="1">
          <reference field="1" count="4">
            <x v="30"/>
            <x v="31"/>
            <x v="44"/>
            <x v="48"/>
          </reference>
        </references>
      </pivotArea>
    </format>
    <format dxfId="105">
      <pivotArea collapsedLevelsAreSubtotals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04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103">
      <pivotArea collapsedLevelsAreSubtotals="1" fieldPosition="0">
        <references count="1">
          <reference field="3" count="1">
            <x v="0"/>
          </reference>
        </references>
      </pivotArea>
    </format>
    <format dxfId="102">
      <pivotArea dataOnly="0" labelOnly="1" fieldPosition="0">
        <references count="1">
          <reference field="3" count="1">
            <x v="0"/>
          </reference>
        </references>
      </pivotArea>
    </format>
    <format dxfId="101">
      <pivotArea collapsedLevelsAreSubtotals="1" fieldPosition="0">
        <references count="1">
          <reference field="3" count="1">
            <x v="0"/>
          </reference>
        </references>
      </pivotArea>
    </format>
    <format dxfId="100">
      <pivotArea dataOnly="0" labelOnly="1" fieldPosition="0">
        <references count="1">
          <reference field="3" count="1">
            <x v="0"/>
          </reference>
        </references>
      </pivotArea>
    </format>
    <format dxfId="99">
      <pivotArea collapsedLevelsAreSubtotals="1" fieldPosition="0">
        <references count="1">
          <reference field="3" count="1">
            <x v="0"/>
          </reference>
        </references>
      </pivotArea>
    </format>
    <format dxfId="98">
      <pivotArea dataOnly="0" labelOnly="1" fieldPosition="0">
        <references count="1">
          <reference field="3" count="1">
            <x v="0"/>
          </reference>
        </references>
      </pivotArea>
    </format>
    <format dxfId="97">
      <pivotArea collapsedLevelsAreSubtotals="1" fieldPosition="0">
        <references count="1">
          <reference field="3" count="1">
            <x v="1"/>
          </reference>
        </references>
      </pivotArea>
    </format>
    <format dxfId="96">
      <pivotArea dataOnly="0" labelOnly="1" fieldPosition="0">
        <references count="1">
          <reference field="3" count="1">
            <x v="1"/>
          </reference>
        </references>
      </pivotArea>
    </format>
    <format dxfId="95">
      <pivotArea collapsedLevelsAreSubtotals="1" fieldPosition="0">
        <references count="1">
          <reference field="3" count="1">
            <x v="1"/>
          </reference>
        </references>
      </pivotArea>
    </format>
    <format dxfId="94">
      <pivotArea dataOnly="0" labelOnly="1" fieldPosition="0">
        <references count="1">
          <reference field="3" count="1">
            <x v="1"/>
          </reference>
        </references>
      </pivotArea>
    </format>
    <format dxfId="93">
      <pivotArea collapsedLevelsAreSubtotals="1" fieldPosition="0">
        <references count="1">
          <reference field="3" count="1">
            <x v="1"/>
          </reference>
        </references>
      </pivotArea>
    </format>
    <format dxfId="92">
      <pivotArea dataOnly="0" labelOnly="1" fieldPosition="0">
        <references count="1">
          <reference field="3" count="1">
            <x v="1"/>
          </reference>
        </references>
      </pivotArea>
    </format>
    <format dxfId="91">
      <pivotArea collapsedLevelsAreSubtotals="1" fieldPosition="0">
        <references count="1">
          <reference field="3" count="1">
            <x v="4"/>
          </reference>
        </references>
      </pivotArea>
    </format>
    <format dxfId="90">
      <pivotArea dataOnly="0" labelOnly="1" fieldPosition="0">
        <references count="1">
          <reference field="3" count="1">
            <x v="4"/>
          </reference>
        </references>
      </pivotArea>
    </format>
    <format dxfId="89">
      <pivotArea collapsedLevelsAreSubtotals="1" fieldPosition="0">
        <references count="1">
          <reference field="3" count="1">
            <x v="2"/>
          </reference>
        </references>
      </pivotArea>
    </format>
    <format dxfId="88">
      <pivotArea dataOnly="0" labelOnly="1" fieldPosition="0">
        <references count="1">
          <reference field="3" count="1">
            <x v="2"/>
          </reference>
        </references>
      </pivotArea>
    </format>
    <format dxfId="87">
      <pivotArea collapsedLevelsAreSubtotals="1" fieldPosition="0">
        <references count="1">
          <reference field="3" count="1">
            <x v="4"/>
          </reference>
        </references>
      </pivotArea>
    </format>
    <format dxfId="86">
      <pivotArea dataOnly="0" labelOnly="1" fieldPosition="0">
        <references count="1">
          <reference field="3" count="1">
            <x v="4"/>
          </reference>
        </references>
      </pivotArea>
    </format>
    <format dxfId="85">
      <pivotArea collapsedLevelsAreSubtotals="1" fieldPosition="0">
        <references count="1">
          <reference field="3" count="1">
            <x v="2"/>
          </reference>
        </references>
      </pivotArea>
    </format>
    <format dxfId="84">
      <pivotArea dataOnly="0" labelOnly="1" fieldPosition="0">
        <references count="1">
          <reference field="3" count="1">
            <x v="2"/>
          </reference>
        </references>
      </pivotArea>
    </format>
    <format dxfId="83">
      <pivotArea collapsedLevelsAreSubtotals="1" fieldPosition="0">
        <references count="1">
          <reference field="3" count="1">
            <x v="4"/>
          </reference>
        </references>
      </pivotArea>
    </format>
    <format dxfId="82">
      <pivotArea dataOnly="0" labelOnly="1" fieldPosition="0">
        <references count="1">
          <reference field="3" count="1">
            <x v="4"/>
          </reference>
        </references>
      </pivotArea>
    </format>
    <format dxfId="81">
      <pivotArea collapsedLevelsAreSubtotals="1" fieldPosition="0">
        <references count="1">
          <reference field="3" count="1">
            <x v="2"/>
          </reference>
        </references>
      </pivotArea>
    </format>
    <format dxfId="80">
      <pivotArea dataOnly="0" labelOnly="1" fieldPosition="0">
        <references count="1">
          <reference field="3" count="1">
            <x v="2"/>
          </reference>
        </references>
      </pivotArea>
    </format>
    <format dxfId="79">
      <pivotArea dataOnly="0" labelOnly="1" fieldPosition="0">
        <references count="1">
          <reference field="3" count="0"/>
        </references>
      </pivotArea>
    </format>
    <format dxfId="78">
      <pivotArea dataOnly="0" labelOnly="1" fieldPosition="0">
        <references count="1">
          <reference field="3" count="0"/>
        </references>
      </pivotArea>
    </format>
    <format dxfId="77">
      <pivotArea collapsedLevelsAreSubtotals="1" fieldPosition="0">
        <references count="1">
          <reference field="3" count="1">
            <x v="5"/>
          </reference>
        </references>
      </pivotArea>
    </format>
    <format dxfId="76">
      <pivotArea collapsedLevelsAreSubtotals="1" fieldPosition="0">
        <references count="1">
          <reference field="3" count="1">
            <x v="6"/>
          </reference>
        </references>
      </pivotArea>
    </format>
    <format dxfId="75">
      <pivotArea collapsedLevelsAreSubtotals="1" fieldPosition="0">
        <references count="1">
          <reference field="3" count="1">
            <x v="7"/>
          </reference>
        </references>
      </pivotArea>
    </format>
    <format dxfId="74">
      <pivotArea collapsedLevelsAreSubtotals="1" fieldPosition="0">
        <references count="1">
          <reference field="3" count="1">
            <x v="8"/>
          </reference>
        </references>
      </pivotArea>
    </format>
    <format dxfId="73">
      <pivotArea collapsedLevelsAreSubtotals="1" fieldPosition="0">
        <references count="1">
          <reference field="3" count="1">
            <x v="9"/>
          </reference>
        </references>
      </pivotArea>
    </format>
    <format dxfId="72">
      <pivotArea collapsedLevelsAreSubtotals="1" fieldPosition="0">
        <references count="1">
          <reference field="3" count="1">
            <x v="10"/>
          </reference>
        </references>
      </pivotArea>
    </format>
    <format dxfId="71">
      <pivotArea collapsedLevelsAreSubtotals="1" fieldPosition="0">
        <references count="1">
          <reference field="3" count="1">
            <x v="11"/>
          </reference>
        </references>
      </pivotArea>
    </format>
    <format dxfId="70">
      <pivotArea collapsedLevelsAreSubtotals="1" fieldPosition="0">
        <references count="1">
          <reference field="3" count="1">
            <x v="12"/>
          </reference>
        </references>
      </pivotArea>
    </format>
    <format dxfId="69">
      <pivotArea collapsedLevelsAreSubtotals="1" fieldPosition="0">
        <references count="1">
          <reference field="3" count="1">
            <x v="13"/>
          </reference>
        </references>
      </pivotArea>
    </format>
    <format dxfId="68">
      <pivotArea collapsedLevelsAreSubtotals="1" fieldPosition="0">
        <references count="1">
          <reference field="3" count="1">
            <x v="14"/>
          </reference>
        </references>
      </pivotArea>
    </format>
    <format dxfId="67">
      <pivotArea collapsedLevelsAreSubtotals="1" fieldPosition="0">
        <references count="1">
          <reference field="3" count="1">
            <x v="5"/>
          </reference>
        </references>
      </pivotArea>
    </format>
    <format dxfId="66">
      <pivotArea collapsedLevelsAreSubtotals="1" fieldPosition="0">
        <references count="1">
          <reference field="3" count="1">
            <x v="6"/>
          </reference>
        </references>
      </pivotArea>
    </format>
    <format dxfId="65">
      <pivotArea collapsedLevelsAreSubtotals="1" fieldPosition="0">
        <references count="1">
          <reference field="3" count="1">
            <x v="7"/>
          </reference>
        </references>
      </pivotArea>
    </format>
    <format dxfId="64">
      <pivotArea collapsedLevelsAreSubtotals="1" fieldPosition="0">
        <references count="1">
          <reference field="3" count="1">
            <x v="8"/>
          </reference>
        </references>
      </pivotArea>
    </format>
    <format dxfId="63">
      <pivotArea collapsedLevelsAreSubtotals="1" fieldPosition="0">
        <references count="1">
          <reference field="3" count="1">
            <x v="9"/>
          </reference>
        </references>
      </pivotArea>
    </format>
    <format dxfId="62">
      <pivotArea collapsedLevelsAreSubtotals="1" fieldPosition="0">
        <references count="1">
          <reference field="3" count="1">
            <x v="10"/>
          </reference>
        </references>
      </pivotArea>
    </format>
    <format dxfId="61">
      <pivotArea collapsedLevelsAreSubtotals="1" fieldPosition="0">
        <references count="1">
          <reference field="3" count="1">
            <x v="11"/>
          </reference>
        </references>
      </pivotArea>
    </format>
    <format dxfId="60">
      <pivotArea collapsedLevelsAreSubtotals="1" fieldPosition="0">
        <references count="1">
          <reference field="3" count="1">
            <x v="12"/>
          </reference>
        </references>
      </pivotArea>
    </format>
    <format dxfId="59">
      <pivotArea collapsedLevelsAreSubtotals="1" fieldPosition="0">
        <references count="1">
          <reference field="3" count="1">
            <x v="13"/>
          </reference>
        </references>
      </pivotArea>
    </format>
    <format dxfId="58">
      <pivotArea collapsedLevelsAreSubtotals="1" fieldPosition="0">
        <references count="1">
          <reference field="3" count="1">
            <x v="14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3" type="button" dataOnly="0" labelOnly="1" outline="0" axis="axisRow" fieldPosition="0"/>
    </format>
    <format dxfId="54">
      <pivotArea dataOnly="0" labelOnly="1" fieldPosition="0">
        <references count="1">
          <reference field="3" count="0"/>
        </references>
      </pivotArea>
    </format>
    <format dxfId="53">
      <pivotArea dataOnly="0" labelOnly="1" grandRow="1" outline="0" fieldPosition="0"/>
    </format>
    <format dxfId="52">
      <pivotArea dataOnly="0" labelOnly="1" fieldPosition="0">
        <references count="2">
          <reference field="1" count="4">
            <x v="30"/>
            <x v="31"/>
            <x v="44"/>
            <x v="48"/>
          </reference>
          <reference field="3" count="1" selected="0">
            <x v="0"/>
          </reference>
        </references>
      </pivotArea>
    </format>
    <format dxfId="51">
      <pivotArea dataOnly="0" labelOnly="1" fieldPosition="0">
        <references count="2">
          <reference field="1" count="4">
            <x v="4"/>
            <x v="10"/>
            <x v="32"/>
            <x v="43"/>
          </reference>
          <reference field="3" count="1" selected="0">
            <x v="1"/>
          </reference>
        </references>
      </pivotArea>
    </format>
    <format dxfId="50">
      <pivotArea dataOnly="0" labelOnly="1" fieldPosition="0">
        <references count="2">
          <reference field="1" count="1">
            <x v="5"/>
          </reference>
          <reference field="3" count="1" selected="0">
            <x v="2"/>
          </reference>
        </references>
      </pivotArea>
    </format>
    <format dxfId="49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48">
      <pivotArea dataOnly="0" labelOnly="1" fieldPosition="0">
        <references count="2">
          <reference field="1" count="3">
            <x v="1"/>
            <x v="7"/>
            <x v="20"/>
          </reference>
          <reference field="3" count="1" selected="0">
            <x v="5"/>
          </reference>
        </references>
      </pivotArea>
    </format>
    <format dxfId="47">
      <pivotArea dataOnly="0" labelOnly="1" fieldPosition="0">
        <references count="2">
          <reference field="1" count="1">
            <x v="38"/>
          </reference>
          <reference field="3" count="1" selected="0">
            <x v="6"/>
          </reference>
        </references>
      </pivotArea>
    </format>
    <format dxfId="46">
      <pivotArea dataOnly="0" labelOnly="1" fieldPosition="0">
        <references count="2">
          <reference field="1" count="4">
            <x v="34"/>
            <x v="37"/>
            <x v="39"/>
            <x v="41"/>
          </reference>
          <reference field="3" count="1" selected="0">
            <x v="7"/>
          </reference>
        </references>
      </pivotArea>
    </format>
    <format dxfId="45">
      <pivotArea dataOnly="0" labelOnly="1" fieldPosition="0">
        <references count="2">
          <reference field="1" count="5">
            <x v="14"/>
            <x v="15"/>
            <x v="18"/>
            <x v="40"/>
            <x v="45"/>
          </reference>
          <reference field="3" count="1" selected="0">
            <x v="8"/>
          </reference>
        </references>
      </pivotArea>
    </format>
    <format dxfId="44">
      <pivotArea dataOnly="0" labelOnly="1" fieldPosition="0">
        <references count="2">
          <reference field="1" count="3">
            <x v="2"/>
            <x v="27"/>
            <x v="28"/>
          </reference>
          <reference field="3" count="1" selected="0">
            <x v="9"/>
          </reference>
        </references>
      </pivotArea>
    </format>
    <format dxfId="43">
      <pivotArea dataOnly="0" labelOnly="1" fieldPosition="0">
        <references count="2">
          <reference field="1" count="15">
            <x v="0"/>
            <x v="6"/>
            <x v="8"/>
            <x v="11"/>
            <x v="12"/>
            <x v="17"/>
            <x v="19"/>
            <x v="21"/>
            <x v="23"/>
            <x v="24"/>
            <x v="29"/>
            <x v="33"/>
            <x v="35"/>
            <x v="42"/>
            <x v="46"/>
          </reference>
          <reference field="3" count="1" selected="0">
            <x v="10"/>
          </reference>
        </references>
      </pivotArea>
    </format>
    <format dxfId="42">
      <pivotArea dataOnly="0" labelOnly="1" fieldPosition="0">
        <references count="2">
          <reference field="1" count="1">
            <x v="47"/>
          </reference>
          <reference field="3" count="1" selected="0">
            <x v="11"/>
          </reference>
        </references>
      </pivotArea>
    </format>
    <format dxfId="41">
      <pivotArea dataOnly="0" labelOnly="1" fieldPosition="0">
        <references count="2">
          <reference field="1" count="4">
            <x v="9"/>
            <x v="13"/>
            <x v="16"/>
            <x v="26"/>
          </reference>
          <reference field="3" count="1" selected="0">
            <x v="12"/>
          </reference>
        </references>
      </pivotArea>
    </format>
    <format dxfId="40">
      <pivotArea dataOnly="0" labelOnly="1" fieldPosition="0">
        <references count="2">
          <reference field="1" count="2">
            <x v="3"/>
            <x v="25"/>
          </reference>
          <reference field="3" count="1" selected="0">
            <x v="13"/>
          </reference>
        </references>
      </pivotArea>
    </format>
    <format dxfId="39">
      <pivotArea dataOnly="0" labelOnly="1" fieldPosition="0">
        <references count="2">
          <reference field="1" count="1">
            <x v="36"/>
          </reference>
          <reference field="3" count="1" selected="0">
            <x v="14"/>
          </reference>
        </references>
      </pivotArea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1" count="4">
            <x v="30"/>
            <x v="31"/>
            <x v="44"/>
            <x v="48"/>
          </reference>
          <reference field="3" count="1" selected="0">
            <x v="0"/>
          </reference>
        </references>
      </pivotArea>
    </format>
    <format dxfId="31">
      <pivotArea dataOnly="0" labelOnly="1" fieldPosition="0">
        <references count="2">
          <reference field="1" count="4">
            <x v="4"/>
            <x v="10"/>
            <x v="32"/>
            <x v="43"/>
          </reference>
          <reference field="3" count="1" selected="0">
            <x v="1"/>
          </reference>
        </references>
      </pivotArea>
    </format>
    <format dxfId="30">
      <pivotArea dataOnly="0" labelOnly="1" fieldPosition="0">
        <references count="2">
          <reference field="1" count="1">
            <x v="5"/>
          </reference>
          <reference field="3" count="1" selected="0">
            <x v="2"/>
          </reference>
        </references>
      </pivotArea>
    </format>
    <format dxfId="29">
      <pivotArea dataOnly="0" labelOnly="1" fieldPosition="0">
        <references count="2">
          <reference field="1" count="1">
            <x v="22"/>
          </reference>
          <reference field="3" count="1" selected="0">
            <x v="4"/>
          </reference>
        </references>
      </pivotArea>
    </format>
    <format dxfId="28">
      <pivotArea dataOnly="0" labelOnly="1" fieldPosition="0">
        <references count="2">
          <reference field="1" count="3">
            <x v="1"/>
            <x v="7"/>
            <x v="20"/>
          </reference>
          <reference field="3" count="1" selected="0">
            <x v="5"/>
          </reference>
        </references>
      </pivotArea>
    </format>
    <format dxfId="27">
      <pivotArea dataOnly="0" labelOnly="1" fieldPosition="0">
        <references count="2">
          <reference field="1" count="1">
            <x v="38"/>
          </reference>
          <reference field="3" count="1" selected="0">
            <x v="6"/>
          </reference>
        </references>
      </pivotArea>
    </format>
    <format dxfId="26">
      <pivotArea dataOnly="0" labelOnly="1" fieldPosition="0">
        <references count="2">
          <reference field="1" count="4">
            <x v="34"/>
            <x v="37"/>
            <x v="39"/>
            <x v="41"/>
          </reference>
          <reference field="3" count="1" selected="0">
            <x v="7"/>
          </reference>
        </references>
      </pivotArea>
    </format>
    <format dxfId="25">
      <pivotArea dataOnly="0" labelOnly="1" fieldPosition="0">
        <references count="2">
          <reference field="1" count="5">
            <x v="14"/>
            <x v="15"/>
            <x v="18"/>
            <x v="40"/>
            <x v="45"/>
          </reference>
          <reference field="3" count="1" selected="0">
            <x v="8"/>
          </reference>
        </references>
      </pivotArea>
    </format>
    <format dxfId="24">
      <pivotArea dataOnly="0" labelOnly="1" fieldPosition="0">
        <references count="2">
          <reference field="1" count="3">
            <x v="2"/>
            <x v="27"/>
            <x v="28"/>
          </reference>
          <reference field="3" count="1" selected="0">
            <x v="9"/>
          </reference>
        </references>
      </pivotArea>
    </format>
    <format dxfId="23">
      <pivotArea dataOnly="0" labelOnly="1" fieldPosition="0">
        <references count="2">
          <reference field="1" count="15">
            <x v="0"/>
            <x v="6"/>
            <x v="8"/>
            <x v="11"/>
            <x v="12"/>
            <x v="17"/>
            <x v="19"/>
            <x v="21"/>
            <x v="23"/>
            <x v="24"/>
            <x v="29"/>
            <x v="33"/>
            <x v="35"/>
            <x v="42"/>
            <x v="46"/>
          </reference>
          <reference field="3" count="1" selected="0">
            <x v="10"/>
          </reference>
        </references>
      </pivotArea>
    </format>
    <format dxfId="22">
      <pivotArea dataOnly="0" labelOnly="1" fieldPosition="0">
        <references count="2">
          <reference field="1" count="1">
            <x v="47"/>
          </reference>
          <reference field="3" count="1" selected="0">
            <x v="11"/>
          </reference>
        </references>
      </pivotArea>
    </format>
    <format dxfId="21">
      <pivotArea dataOnly="0" labelOnly="1" fieldPosition="0">
        <references count="2">
          <reference field="1" count="4">
            <x v="9"/>
            <x v="13"/>
            <x v="16"/>
            <x v="26"/>
          </reference>
          <reference field="3" count="1" selected="0">
            <x v="12"/>
          </reference>
        </references>
      </pivotArea>
    </format>
    <format dxfId="20">
      <pivotArea dataOnly="0" labelOnly="1" fieldPosition="0">
        <references count="2">
          <reference field="1" count="2">
            <x v="3"/>
            <x v="25"/>
          </reference>
          <reference field="3" count="1" selected="0">
            <x v="13"/>
          </reference>
        </references>
      </pivotArea>
    </format>
    <format dxfId="19">
      <pivotArea dataOnly="0" labelOnly="1" fieldPosition="0">
        <references count="2">
          <reference field="1" count="1">
            <x v="36"/>
          </reference>
          <reference field="3" count="1" selected="0">
            <x v="14"/>
          </reference>
        </references>
      </pivotArea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3" dT="2026-02-25T12:11:37.08" personId="{548CEBF5-4D77-49DC-986A-83BB11D2B598}" id="{3180C330-61A5-4289-84BE-A512026E88AE}">
    <text>Nota: Atualizado toda segunda feira )</text>
  </threadedComment>
  <threadedComment ref="F5" dT="2026-09-08T12:15:45.71" personId="{A461D960-C726-42CE-87CE-DC80524FC59E}" id="{F2C1DC52-DAF4-460C-97AB-BFDFBF852B67}">
    <text xml:space="preserve">EXPORT : R$ 4 Milhôes (Alocado)
Abaixo de R$ 3.000 : R$ 385 Mil
Garantia: R$ 67 Mil
</text>
  </threadedComment>
  <threadedComment ref="V14" dT="2026-02-09T16:28:45.40" personId="{C588D214-4A76-4738-B4C3-F95C58800183}" id="{2146CF1B-B290-474D-9BA0-BB6C167042F1}">
    <text>QTD EM NOSSO STK PARA FS INSPECIONAR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19" dT="2026-03-02T17:50:11.84" personId="{548CEBF5-4D77-49DC-986A-83BB11D2B598}" id="{07A38441-E079-417A-93F3-6BE6550263CC}">
    <text>02-03 - aguardando volume do Bruno Monferdini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B4D1AA-1E74-41DC-862E-FEB999A19406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2E8C-E2E9-445D-807F-DB4298A9D4FD}">
  <sheetPr codeName="Planilha1">
    <tabColor rgb="FF00B050"/>
  </sheetPr>
  <dimension ref="B1:AJ331"/>
  <sheetViews>
    <sheetView tabSelected="1" zoomScale="55" zoomScaleNormal="55" workbookViewId="0">
      <pane ySplit="3" topLeftCell="A4" activePane="bottomLeft" state="frozen"/>
      <selection pane="bottomLeft" activeCell="H6" sqref="H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5" defaultRowHeight="14.25"/>
  <cols>
    <col min="1" max="1" width="1" style="29" customWidth="1"/>
    <col min="2" max="2" width="1" style="18" customWidth="1"/>
    <col min="3" max="3" width="34.5" style="29" customWidth="1"/>
    <col min="4" max="4" width="23.5" style="29" customWidth="1"/>
    <col min="5" max="5" width="1.5" style="29" customWidth="1"/>
    <col min="6" max="6" width="23.5" style="29" customWidth="1"/>
    <col min="7" max="7" width="1.5" style="29" customWidth="1"/>
    <col min="8" max="8" width="23.5" style="29" customWidth="1"/>
    <col min="9" max="9" width="1.5" style="29" customWidth="1"/>
    <col min="10" max="10" width="23.5" style="29" customWidth="1"/>
    <col min="11" max="11" width="1.5" style="29" customWidth="1"/>
    <col min="12" max="12" width="23.5" style="29" customWidth="1"/>
    <col min="13" max="13" width="1.5" style="29" customWidth="1"/>
    <col min="14" max="14" width="23.5" style="29" customWidth="1"/>
    <col min="15" max="15" width="1.5" style="29" customWidth="1"/>
    <col min="16" max="16" width="23.5" style="29" customWidth="1"/>
    <col min="17" max="17" width="1.5" style="29" customWidth="1"/>
    <col min="18" max="18" width="23.5" style="29" customWidth="1"/>
    <col min="19" max="19" width="1.5" style="29" customWidth="1"/>
    <col min="20" max="20" width="23.5" style="29" customWidth="1"/>
    <col min="21" max="21" width="1.5" style="29" customWidth="1"/>
    <col min="22" max="22" width="22.125" style="29" customWidth="1"/>
    <col min="23" max="23" width="1.5" style="29" customWidth="1"/>
    <col min="24" max="24" width="23.5" style="29" customWidth="1"/>
    <col min="25" max="25" width="1.5" style="29" customWidth="1"/>
    <col min="26" max="26" width="20.5" style="29" customWidth="1"/>
    <col min="27" max="27" width="23.5" style="29" customWidth="1"/>
    <col min="28" max="16384" width="8.5" style="29"/>
  </cols>
  <sheetData>
    <row r="1" spans="2:36" ht="41.25" customHeight="1">
      <c r="C1" s="845">
        <f ca="1">TODAY()</f>
        <v>46309</v>
      </c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3"/>
      <c r="AB1" s="18"/>
      <c r="AC1" s="18"/>
      <c r="AD1" s="18"/>
      <c r="AE1" s="18"/>
      <c r="AF1" s="18"/>
      <c r="AG1" s="18"/>
      <c r="AH1" s="18"/>
      <c r="AI1" s="18"/>
    </row>
    <row r="2" spans="2:36" ht="30">
      <c r="C2" s="885" t="s">
        <v>0</v>
      </c>
      <c r="D2" s="886"/>
      <c r="E2" s="886"/>
      <c r="F2" s="886"/>
      <c r="G2" s="886"/>
      <c r="H2" s="886"/>
      <c r="I2" s="886"/>
      <c r="J2" s="886"/>
      <c r="K2" s="886"/>
      <c r="L2" s="886"/>
      <c r="M2" s="886"/>
      <c r="N2" s="886"/>
      <c r="O2" s="886"/>
      <c r="P2" s="886"/>
      <c r="Q2" s="886"/>
      <c r="R2" s="886"/>
      <c r="S2" s="886"/>
      <c r="T2" s="886"/>
      <c r="U2" s="886"/>
      <c r="V2" s="886"/>
      <c r="W2" s="886"/>
      <c r="X2" s="887"/>
      <c r="Y2" s="600"/>
      <c r="Z2" s="601"/>
      <c r="AA2" s="18"/>
      <c r="AB2" s="18"/>
      <c r="AC2" s="18"/>
      <c r="AD2" s="18"/>
      <c r="AE2" s="18"/>
      <c r="AF2" s="18"/>
      <c r="AG2" s="18"/>
      <c r="AH2" s="18"/>
      <c r="AI2" s="18"/>
    </row>
    <row r="3" spans="2:36" s="526" customFormat="1" ht="39" customHeight="1">
      <c r="B3" s="522"/>
      <c r="C3" s="523" t="s">
        <v>1</v>
      </c>
      <c r="D3" s="524" t="s">
        <v>2</v>
      </c>
      <c r="E3" s="524"/>
      <c r="F3" s="524" t="s">
        <v>3</v>
      </c>
      <c r="G3" s="524"/>
      <c r="H3" s="524" t="s">
        <v>4</v>
      </c>
      <c r="I3" s="524"/>
      <c r="J3" s="524" t="s">
        <v>5</v>
      </c>
      <c r="K3" s="524"/>
      <c r="L3" s="524" t="s">
        <v>6</v>
      </c>
      <c r="M3" s="524"/>
      <c r="N3" s="524" t="s">
        <v>7</v>
      </c>
      <c r="O3" s="524"/>
      <c r="P3" s="524" t="s">
        <v>8</v>
      </c>
      <c r="Q3" s="524"/>
      <c r="R3" s="524" t="s">
        <v>9</v>
      </c>
      <c r="S3" s="524"/>
      <c r="T3" s="524" t="s">
        <v>10</v>
      </c>
      <c r="U3" s="524"/>
      <c r="V3" s="524" t="s">
        <v>11</v>
      </c>
      <c r="W3" s="522"/>
      <c r="X3" s="524" t="s">
        <v>12</v>
      </c>
      <c r="Y3" s="522"/>
      <c r="Z3" s="525" t="s">
        <v>13</v>
      </c>
      <c r="AA3" s="522"/>
      <c r="AB3" s="522"/>
      <c r="AC3" s="522"/>
      <c r="AD3" s="522"/>
      <c r="AE3" s="522"/>
      <c r="AF3" s="522"/>
      <c r="AG3" s="522"/>
      <c r="AH3" s="522"/>
      <c r="AI3" s="522"/>
    </row>
    <row r="4" spans="2:36" s="602" customFormat="1" ht="45.75" customHeight="1" thickBot="1">
      <c r="B4" s="33"/>
      <c r="C4" s="491"/>
      <c r="D4" s="35" t="s">
        <v>14</v>
      </c>
      <c r="E4" s="36"/>
      <c r="F4" s="35" t="s">
        <v>15</v>
      </c>
      <c r="G4" s="36"/>
      <c r="H4" s="35" t="s">
        <v>16</v>
      </c>
      <c r="I4" s="36"/>
      <c r="J4" s="35" t="s">
        <v>17</v>
      </c>
      <c r="K4" s="36"/>
      <c r="L4" s="35" t="s">
        <v>18</v>
      </c>
      <c r="M4" s="35"/>
      <c r="N4" s="35" t="s">
        <v>19</v>
      </c>
      <c r="O4" s="36"/>
      <c r="P4" s="35" t="s">
        <v>19</v>
      </c>
      <c r="Q4" s="36"/>
      <c r="R4" s="35" t="s">
        <v>19</v>
      </c>
      <c r="S4" s="36"/>
      <c r="T4" s="35" t="s">
        <v>19</v>
      </c>
      <c r="U4" s="36"/>
      <c r="V4" s="35" t="s">
        <v>20</v>
      </c>
      <c r="W4" s="36"/>
      <c r="X4" s="35" t="s">
        <v>21</v>
      </c>
      <c r="Y4" s="36"/>
      <c r="Z4" s="492" t="s">
        <v>22</v>
      </c>
      <c r="AA4" s="33"/>
      <c r="AB4" s="33"/>
      <c r="AC4" s="33"/>
      <c r="AD4" s="33"/>
      <c r="AE4" s="33"/>
      <c r="AF4" s="33"/>
      <c r="AG4" s="33"/>
      <c r="AH4" s="33"/>
      <c r="AI4" s="33"/>
    </row>
    <row r="5" spans="2:36" ht="42.75" customHeight="1" thickBot="1">
      <c r="C5" s="493" t="s">
        <v>23</v>
      </c>
      <c r="D5" s="12">
        <v>0.8</v>
      </c>
      <c r="E5" s="5"/>
      <c r="F5" s="12">
        <v>2.5</v>
      </c>
      <c r="G5" s="5"/>
      <c r="H5" s="12">
        <v>8</v>
      </c>
      <c r="I5" s="5"/>
      <c r="J5" s="26">
        <v>0</v>
      </c>
      <c r="K5" s="5"/>
      <c r="L5" s="26">
        <f ca="1">_xlfn.XLOOKUP(C1,'[1]EMBALAR(PREENCHER)'!$M:$M,'[1]EMBALAR(PREENCHER)'!$N:$N)</f>
        <v>866</v>
      </c>
      <c r="M5" s="5"/>
      <c r="N5" s="26"/>
      <c r="O5" s="5"/>
      <c r="P5" s="26"/>
      <c r="Q5" s="5"/>
      <c r="R5" s="26"/>
      <c r="S5" s="5"/>
      <c r="T5" s="26"/>
      <c r="U5" s="5"/>
      <c r="V5" s="26">
        <v>137</v>
      </c>
      <c r="W5" s="5"/>
      <c r="X5" s="556">
        <v>49</v>
      </c>
      <c r="Y5" s="18"/>
      <c r="Z5" s="842">
        <v>0.23899999999999999</v>
      </c>
      <c r="AA5" s="18"/>
      <c r="AB5" s="18"/>
      <c r="AC5" s="18"/>
      <c r="AD5" s="18"/>
      <c r="AE5" s="18"/>
      <c r="AF5" s="18"/>
      <c r="AG5" s="18"/>
      <c r="AH5" s="18"/>
      <c r="AI5" s="18"/>
    </row>
    <row r="6" spans="2:36" s="603" customFormat="1" ht="13.5" customHeight="1">
      <c r="B6" s="77"/>
      <c r="C6" s="494" t="s">
        <v>24</v>
      </c>
      <c r="D6" s="78"/>
      <c r="E6" s="78"/>
      <c r="F6" s="82"/>
      <c r="G6" s="78"/>
      <c r="H6" s="78"/>
      <c r="I6" s="78"/>
      <c r="J6" s="78">
        <v>0.02</v>
      </c>
      <c r="K6" s="78"/>
      <c r="L6" s="78"/>
      <c r="M6" s="78"/>
      <c r="N6" s="521"/>
      <c r="O6" s="521"/>
      <c r="P6" s="521">
        <v>100</v>
      </c>
      <c r="Q6" s="521"/>
      <c r="R6" s="521">
        <v>500</v>
      </c>
      <c r="S6" s="521"/>
      <c r="T6" s="521">
        <v>60</v>
      </c>
      <c r="U6" s="78"/>
      <c r="V6" s="78"/>
      <c r="W6" s="78"/>
      <c r="X6" s="78"/>
      <c r="Y6" s="78"/>
      <c r="Z6" s="843">
        <f>Z5/Z13</f>
        <v>5.6208842897460018E-2</v>
      </c>
      <c r="AA6" s="77"/>
      <c r="AB6" s="77"/>
      <c r="AC6" s="77"/>
      <c r="AD6" s="77"/>
      <c r="AE6" s="77"/>
      <c r="AF6" s="77"/>
      <c r="AG6" s="77"/>
      <c r="AH6" s="77"/>
      <c r="AI6" s="77"/>
    </row>
    <row r="7" spans="2:36">
      <c r="C7" s="496"/>
      <c r="D7" s="497"/>
      <c r="E7" s="497"/>
      <c r="F7" s="497" t="s">
        <v>25</v>
      </c>
      <c r="G7" s="497"/>
      <c r="H7" s="497"/>
      <c r="I7" s="497"/>
      <c r="J7" s="497"/>
      <c r="K7" s="497"/>
      <c r="L7" s="497"/>
      <c r="M7" s="497"/>
      <c r="N7" s="497"/>
      <c r="O7" s="497"/>
      <c r="P7" s="497"/>
      <c r="Q7" s="497"/>
      <c r="R7" s="497"/>
      <c r="S7" s="497"/>
      <c r="T7" s="497"/>
      <c r="U7" s="497"/>
      <c r="V7" s="497"/>
      <c r="W7" s="497"/>
      <c r="X7" s="497"/>
      <c r="Y7" s="497"/>
      <c r="Z7" s="498"/>
      <c r="AA7" s="18"/>
      <c r="AB7" s="18"/>
      <c r="AC7" s="18"/>
      <c r="AD7" s="18"/>
      <c r="AE7" s="18"/>
      <c r="AF7" s="18"/>
      <c r="AG7" s="18"/>
      <c r="AH7" s="18"/>
      <c r="AI7" s="18"/>
    </row>
    <row r="8" spans="2:36" s="18" customFormat="1" ht="30.75" thickBot="1">
      <c r="C8" s="493"/>
      <c r="D8" s="16"/>
      <c r="F8" s="16" t="s">
        <v>26</v>
      </c>
      <c r="H8" s="16" t="s">
        <v>27</v>
      </c>
      <c r="J8" s="16" t="s">
        <v>28</v>
      </c>
      <c r="L8" s="5" t="s">
        <v>29</v>
      </c>
      <c r="M8" s="16"/>
      <c r="N8" s="16" t="s">
        <v>30</v>
      </c>
      <c r="P8" s="16" t="s">
        <v>30</v>
      </c>
      <c r="R8" s="16" t="s">
        <v>30</v>
      </c>
      <c r="T8" s="16" t="s">
        <v>30</v>
      </c>
      <c r="V8" s="16" t="s">
        <v>31</v>
      </c>
      <c r="X8" s="5" t="s">
        <v>32</v>
      </c>
      <c r="Z8" s="499" t="s">
        <v>33</v>
      </c>
    </row>
    <row r="9" spans="2:36" s="3" customFormat="1" ht="42.75" customHeight="1" thickBot="1">
      <c r="B9" s="5"/>
      <c r="C9" s="493" t="s">
        <v>34</v>
      </c>
      <c r="D9" s="12">
        <v>5.5</v>
      </c>
      <c r="E9" s="5"/>
      <c r="F9" s="12">
        <v>7.5</v>
      </c>
      <c r="G9" s="5"/>
      <c r="H9" s="12">
        <v>5.2</v>
      </c>
      <c r="I9" s="5"/>
      <c r="J9" s="26">
        <v>0</v>
      </c>
      <c r="K9" s="5"/>
      <c r="L9" s="26">
        <f>_xlfn.XLOOKUP(L8,[2]SETEMBRO!$W$16,[2]SETEMBRO!$W$20)</f>
        <v>67366</v>
      </c>
      <c r="M9" s="5"/>
      <c r="N9" s="26"/>
      <c r="O9" s="5"/>
      <c r="P9" s="26"/>
      <c r="Q9" s="5"/>
      <c r="R9" s="26"/>
      <c r="S9" s="5"/>
      <c r="T9" s="26"/>
      <c r="U9" s="5"/>
      <c r="V9" s="26">
        <v>528</v>
      </c>
      <c r="W9" s="5"/>
      <c r="X9" s="556">
        <v>49</v>
      </c>
      <c r="Y9" s="5"/>
      <c r="Z9" s="842">
        <v>4.0129999999999999</v>
      </c>
      <c r="AA9" s="773"/>
      <c r="AB9" s="5"/>
      <c r="AC9" s="18"/>
      <c r="AD9" s="5"/>
      <c r="AE9" s="5"/>
      <c r="AF9" s="5"/>
      <c r="AG9" s="5"/>
      <c r="AH9" s="5"/>
      <c r="AI9" s="5"/>
      <c r="AJ9" s="604"/>
    </row>
    <row r="10" spans="2:36" s="605" customFormat="1" ht="12" customHeight="1">
      <c r="B10" s="79"/>
      <c r="C10" s="494" t="s">
        <v>35</v>
      </c>
      <c r="D10" s="78"/>
      <c r="E10" s="78"/>
      <c r="F10" s="846" t="s">
        <v>36</v>
      </c>
      <c r="G10" s="78"/>
      <c r="H10" s="78"/>
      <c r="I10" s="78"/>
      <c r="J10" s="78"/>
      <c r="K10" s="78"/>
      <c r="L10" s="78" t="s">
        <v>37</v>
      </c>
      <c r="M10" s="78"/>
      <c r="N10" s="78">
        <v>10552</v>
      </c>
      <c r="O10" s="78"/>
      <c r="P10" s="78">
        <v>1600</v>
      </c>
      <c r="Q10" s="78"/>
      <c r="R10" s="78" t="s">
        <v>37</v>
      </c>
      <c r="S10" s="78"/>
      <c r="T10" s="78">
        <v>0</v>
      </c>
      <c r="U10" s="78"/>
      <c r="V10" s="78"/>
      <c r="W10" s="78"/>
      <c r="X10" s="78"/>
      <c r="Y10" s="78"/>
      <c r="Z10" s="843">
        <f>Z9/Z13</f>
        <v>0.94379115710254002</v>
      </c>
      <c r="AA10" s="79"/>
      <c r="AB10" s="79"/>
      <c r="AC10" s="79"/>
      <c r="AD10" s="79"/>
      <c r="AE10" s="79"/>
      <c r="AF10" s="79"/>
      <c r="AG10" s="79"/>
      <c r="AH10" s="79"/>
      <c r="AI10" s="79"/>
    </row>
    <row r="11" spans="2:36">
      <c r="C11" s="496"/>
      <c r="D11" s="497"/>
      <c r="E11" s="497"/>
      <c r="F11" s="497"/>
      <c r="G11" s="497"/>
      <c r="H11" s="497"/>
      <c r="I11" s="497"/>
      <c r="J11" s="497"/>
      <c r="K11" s="497"/>
      <c r="L11" s="497"/>
      <c r="M11" s="497"/>
      <c r="N11" s="497"/>
      <c r="O11" s="497"/>
      <c r="P11" s="497"/>
      <c r="Q11" s="497"/>
      <c r="R11" s="497"/>
      <c r="S11" s="497"/>
      <c r="T11" s="497"/>
      <c r="U11" s="497"/>
      <c r="V11" s="497"/>
      <c r="W11" s="497"/>
      <c r="X11" s="497"/>
      <c r="Y11" s="497"/>
      <c r="Z11" s="49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2:36" ht="18" customHeight="1" thickBot="1">
      <c r="C12" s="884" t="s">
        <v>34</v>
      </c>
      <c r="D12" s="5" t="s">
        <v>38</v>
      </c>
      <c r="E12" s="18"/>
      <c r="F12" s="5" t="s">
        <v>38</v>
      </c>
      <c r="G12" s="18"/>
      <c r="H12" s="5" t="s">
        <v>38</v>
      </c>
      <c r="I12" s="18"/>
      <c r="J12" s="5" t="s">
        <v>38</v>
      </c>
      <c r="K12" s="18"/>
      <c r="L12" s="5" t="s">
        <v>38</v>
      </c>
      <c r="M12" s="5"/>
      <c r="N12" s="5" t="s">
        <v>38</v>
      </c>
      <c r="O12" s="18"/>
      <c r="P12" s="5" t="s">
        <v>38</v>
      </c>
      <c r="Q12" s="18"/>
      <c r="R12" s="5" t="s">
        <v>38</v>
      </c>
      <c r="S12" s="18"/>
      <c r="T12" s="5" t="s">
        <v>38</v>
      </c>
      <c r="U12" s="18"/>
      <c r="V12" s="5" t="s">
        <v>38</v>
      </c>
      <c r="W12" s="18"/>
      <c r="X12" s="501" t="s">
        <v>39</v>
      </c>
      <c r="Y12" s="18"/>
      <c r="Z12" s="502" t="s">
        <v>40</v>
      </c>
      <c r="AA12" s="18"/>
      <c r="AB12" s="18"/>
      <c r="AC12" s="18"/>
      <c r="AD12" s="18"/>
      <c r="AE12" s="18"/>
      <c r="AF12" s="18"/>
      <c r="AG12" s="18"/>
      <c r="AH12" s="18"/>
      <c r="AI12" s="18"/>
    </row>
    <row r="13" spans="2:36" ht="42.75" customHeight="1">
      <c r="C13" s="884"/>
      <c r="D13" s="12">
        <v>33.700000000000003</v>
      </c>
      <c r="E13" s="5"/>
      <c r="F13" s="12">
        <v>33.700000000000003</v>
      </c>
      <c r="G13" s="5"/>
      <c r="H13" s="12">
        <v>33.700000000000003</v>
      </c>
      <c r="I13" s="5"/>
      <c r="J13" s="26">
        <v>0</v>
      </c>
      <c r="K13" s="5"/>
      <c r="L13" s="26">
        <v>42000</v>
      </c>
      <c r="M13" s="5"/>
      <c r="N13" s="26"/>
      <c r="O13" s="5"/>
      <c r="P13" s="26"/>
      <c r="Q13" s="5"/>
      <c r="R13" s="26"/>
      <c r="S13" s="5"/>
      <c r="T13" s="26"/>
      <c r="U13" s="5"/>
      <c r="V13" s="26">
        <v>665</v>
      </c>
      <c r="W13" s="5"/>
      <c r="X13" s="12">
        <v>50</v>
      </c>
      <c r="Y13" s="18"/>
      <c r="Z13" s="842">
        <f>SUM(Z9,Z5)</f>
        <v>4.2519999999999998</v>
      </c>
      <c r="AA13" s="18"/>
      <c r="AB13" s="18"/>
      <c r="AC13" s="18"/>
      <c r="AD13" s="18"/>
      <c r="AE13" s="18"/>
      <c r="AF13" s="18"/>
      <c r="AG13" s="18"/>
      <c r="AH13" s="18"/>
      <c r="AI13" s="18"/>
    </row>
    <row r="14" spans="2:36" s="605" customFormat="1" ht="12" customHeight="1">
      <c r="B14" s="79"/>
      <c r="C14" s="494" t="s">
        <v>41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 t="s">
        <v>37</v>
      </c>
      <c r="O14" s="78"/>
      <c r="P14" s="78">
        <v>2000</v>
      </c>
      <c r="Q14" s="78"/>
      <c r="R14" s="78" t="s">
        <v>37</v>
      </c>
      <c r="S14" s="78"/>
      <c r="T14" s="78">
        <v>500</v>
      </c>
      <c r="U14" s="78"/>
      <c r="V14" s="78"/>
      <c r="W14" s="78"/>
      <c r="X14" s="78"/>
      <c r="Y14" s="78"/>
      <c r="Z14" s="495"/>
      <c r="AA14" s="79"/>
      <c r="AB14" s="79"/>
      <c r="AC14" s="79"/>
      <c r="AD14" s="79"/>
      <c r="AE14" s="79"/>
      <c r="AF14" s="79"/>
      <c r="AG14" s="79"/>
      <c r="AH14" s="79"/>
      <c r="AI14" s="79"/>
    </row>
    <row r="15" spans="2:36">
      <c r="C15" s="496"/>
      <c r="D15" s="497"/>
      <c r="E15" s="497"/>
      <c r="F15" s="497"/>
      <c r="G15" s="497"/>
      <c r="H15" s="497"/>
      <c r="I15" s="497"/>
      <c r="J15" s="497"/>
      <c r="K15" s="497"/>
      <c r="L15" s="497"/>
      <c r="M15" s="497"/>
      <c r="N15" s="497"/>
      <c r="O15" s="497"/>
      <c r="P15" s="497"/>
      <c r="Q15" s="497"/>
      <c r="R15" s="497"/>
      <c r="S15" s="497"/>
      <c r="T15" s="497"/>
      <c r="U15" s="497"/>
      <c r="V15" s="497"/>
      <c r="W15" s="497"/>
      <c r="X15" s="497"/>
      <c r="Y15" s="497"/>
      <c r="Z15" s="498"/>
      <c r="AA15" s="18"/>
      <c r="AB15" s="18"/>
      <c r="AC15" s="18"/>
      <c r="AD15" s="18"/>
      <c r="AE15" s="18"/>
      <c r="AF15" s="18"/>
      <c r="AG15" s="18"/>
      <c r="AH15" s="18"/>
      <c r="AI15" s="18"/>
    </row>
    <row r="16" spans="2:36" ht="14.25" customHeight="1" thickBot="1">
      <c r="C16" s="503"/>
      <c r="D16" s="5" t="s">
        <v>42</v>
      </c>
      <c r="E16" s="5"/>
      <c r="F16" s="5" t="s">
        <v>42</v>
      </c>
      <c r="G16" s="5"/>
      <c r="H16" s="5" t="s">
        <v>42</v>
      </c>
      <c r="I16" s="5"/>
      <c r="J16" s="5" t="s">
        <v>42</v>
      </c>
      <c r="K16" s="5"/>
      <c r="L16" s="5" t="s">
        <v>42</v>
      </c>
      <c r="M16" s="5"/>
      <c r="N16" s="5" t="s">
        <v>42</v>
      </c>
      <c r="O16" s="5"/>
      <c r="P16" s="5" t="s">
        <v>42</v>
      </c>
      <c r="Q16" s="5"/>
      <c r="R16" s="5" t="s">
        <v>42</v>
      </c>
      <c r="S16" s="5"/>
      <c r="T16" s="5" t="s">
        <v>42</v>
      </c>
      <c r="U16" s="5"/>
      <c r="V16" s="5" t="s">
        <v>42</v>
      </c>
      <c r="W16" s="5"/>
      <c r="X16" s="5" t="s">
        <v>42</v>
      </c>
      <c r="Y16" s="18"/>
      <c r="Z16" s="504" t="s">
        <v>42</v>
      </c>
      <c r="AA16" s="18"/>
      <c r="AB16" s="18"/>
      <c r="AC16" s="18"/>
      <c r="AD16" s="18"/>
      <c r="AE16" s="18"/>
      <c r="AF16" s="18"/>
      <c r="AG16" s="18"/>
      <c r="AH16" s="18"/>
      <c r="AI16" s="18"/>
    </row>
    <row r="17" spans="2:35" ht="42.75" customHeight="1" thickBot="1">
      <c r="C17" s="500" t="s">
        <v>34</v>
      </c>
      <c r="D17" s="30">
        <f>D9/D13</f>
        <v>0.16320474777448069</v>
      </c>
      <c r="E17" s="505"/>
      <c r="F17" s="30">
        <f>F9/F13</f>
        <v>0.22255192878338276</v>
      </c>
      <c r="G17" s="505"/>
      <c r="H17" s="30">
        <f>H9/H13</f>
        <v>0.1543026706231454</v>
      </c>
      <c r="I17" s="505"/>
      <c r="J17" s="30" t="e">
        <f>J9/J13</f>
        <v>#DIV/0!</v>
      </c>
      <c r="K17" s="505"/>
      <c r="L17" s="30">
        <f>L9/L13</f>
        <v>1.603952380952381</v>
      </c>
      <c r="M17" s="505"/>
      <c r="N17" s="30" t="e">
        <f>N9/N13</f>
        <v>#DIV/0!</v>
      </c>
      <c r="O17" s="505"/>
      <c r="P17" s="30" t="e">
        <f>P9/P13</f>
        <v>#DIV/0!</v>
      </c>
      <c r="Q17" s="505"/>
      <c r="R17" s="30" t="e">
        <f>R9/R13</f>
        <v>#DIV/0!</v>
      </c>
      <c r="S17" s="505"/>
      <c r="T17" s="30" t="e">
        <f>T9/T13</f>
        <v>#DIV/0!</v>
      </c>
      <c r="U17" s="505"/>
      <c r="V17" s="30">
        <f>V9/V13</f>
        <v>0.79398496240601502</v>
      </c>
      <c r="W17" s="505"/>
      <c r="X17" s="14">
        <f>X9/X13</f>
        <v>0.98</v>
      </c>
      <c r="Y17" s="18"/>
      <c r="Z17" s="506">
        <f>Z9/Z13</f>
        <v>0.94379115710254002</v>
      </c>
      <c r="AA17" s="18"/>
      <c r="AB17" s="18"/>
      <c r="AC17" s="18"/>
      <c r="AD17" s="18"/>
      <c r="AE17" s="18"/>
      <c r="AF17" s="18"/>
      <c r="AG17" s="18"/>
      <c r="AH17" s="18"/>
      <c r="AI17" s="18"/>
    </row>
    <row r="18" spans="2:35" ht="9.75" customHeight="1">
      <c r="C18" s="503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507"/>
      <c r="AA18" s="18"/>
      <c r="AB18" s="18"/>
      <c r="AC18" s="18"/>
      <c r="AD18" s="18"/>
      <c r="AE18" s="18"/>
      <c r="AF18" s="18"/>
      <c r="AG18" s="18"/>
      <c r="AH18" s="18"/>
      <c r="AI18" s="18"/>
    </row>
    <row r="19" spans="2:35">
      <c r="C19" s="496"/>
      <c r="D19" s="497"/>
      <c r="E19" s="497"/>
      <c r="F19" s="497"/>
      <c r="G19" s="497"/>
      <c r="H19" s="497"/>
      <c r="I19" s="497"/>
      <c r="J19" s="497"/>
      <c r="K19" s="497"/>
      <c r="L19" s="497"/>
      <c r="M19" s="497"/>
      <c r="N19" s="497"/>
      <c r="O19" s="497"/>
      <c r="P19" s="497"/>
      <c r="Q19" s="497"/>
      <c r="R19" s="497"/>
      <c r="S19" s="497"/>
      <c r="T19" s="497"/>
      <c r="U19" s="497"/>
      <c r="V19" s="497"/>
      <c r="W19" s="497"/>
      <c r="X19" s="497"/>
      <c r="Y19" s="497"/>
      <c r="Z19" s="508"/>
      <c r="AA19" s="18"/>
      <c r="AB19" s="18"/>
      <c r="AC19" s="18"/>
      <c r="AD19" s="18"/>
      <c r="AE19" s="18"/>
      <c r="AF19" s="18"/>
      <c r="AG19" s="18"/>
      <c r="AH19" s="18"/>
      <c r="AI19" s="18"/>
    </row>
    <row r="20" spans="2:35" ht="17.25" customHeight="1" thickBot="1">
      <c r="C20" s="509"/>
      <c r="D20" s="510"/>
      <c r="E20" s="510"/>
      <c r="F20" s="510"/>
      <c r="G20" s="510"/>
      <c r="H20" s="510"/>
      <c r="I20" s="510"/>
      <c r="J20" s="511" t="s">
        <v>43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507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2:35" ht="19.5" thickBot="1">
      <c r="C21" s="512" t="s">
        <v>44</v>
      </c>
      <c r="D21" s="149" t="str">
        <f ca="1">IF(LEN(DAY(TODAY()))=1,"0"&amp;DAY(TODAY()),DAY(TODAY()))&amp;"."&amp;IF(LEN(MONTH(TODAY()))=1,"0"&amp;MONTH(TODAY()),MONTH(TODAY()))</f>
        <v>14.10</v>
      </c>
      <c r="E21" s="510"/>
      <c r="F21" s="513" t="s">
        <v>45</v>
      </c>
      <c r="G21" s="513"/>
      <c r="H21" s="513">
        <v>21</v>
      </c>
      <c r="I21" s="510"/>
      <c r="J21" s="888">
        <f>H22/H21</f>
        <v>0.14285714285714285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514"/>
      <c r="AA21" s="18"/>
      <c r="AB21" s="18"/>
      <c r="AC21" s="18"/>
      <c r="AD21" s="18"/>
      <c r="AE21" s="18"/>
      <c r="AF21" s="18"/>
      <c r="AG21" s="18"/>
      <c r="AH21" s="18"/>
      <c r="AI21" s="18"/>
    </row>
    <row r="22" spans="2:35" ht="18.75">
      <c r="C22" s="515" t="s">
        <v>46</v>
      </c>
      <c r="D22" s="516">
        <v>0.45833333333333331</v>
      </c>
      <c r="E22" s="510"/>
      <c r="F22" s="513" t="s">
        <v>47</v>
      </c>
      <c r="G22" s="513"/>
      <c r="H22" s="513">
        <v>3</v>
      </c>
      <c r="I22" s="510"/>
      <c r="J22" s="888"/>
      <c r="K22" s="18"/>
      <c r="L22" s="18"/>
      <c r="M22" s="18"/>
      <c r="N22" s="18"/>
      <c r="O22" s="18"/>
      <c r="Q22" s="18"/>
      <c r="R22" s="18"/>
      <c r="S22" s="18"/>
      <c r="T22" s="18"/>
      <c r="U22" s="18"/>
      <c r="V22" s="18"/>
      <c r="W22" s="18"/>
      <c r="X22" s="18"/>
      <c r="Y22" s="18"/>
      <c r="Z22" s="514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2:35" ht="18.75">
      <c r="C23" s="512"/>
      <c r="D23" s="516"/>
      <c r="E23" s="510"/>
      <c r="F23" s="510"/>
      <c r="G23" s="510"/>
      <c r="H23" s="510"/>
      <c r="I23" s="510"/>
      <c r="J23" s="517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514"/>
      <c r="AA23" s="18"/>
      <c r="AB23" s="18"/>
      <c r="AC23" s="18"/>
      <c r="AD23" s="18"/>
      <c r="AE23" s="18"/>
      <c r="AF23" s="18"/>
      <c r="AG23" s="18"/>
      <c r="AH23" s="18"/>
      <c r="AI23" s="18"/>
    </row>
    <row r="24" spans="2:35" ht="15" thickBot="1">
      <c r="C24" s="518"/>
      <c r="D24" s="519"/>
      <c r="E24" s="519"/>
      <c r="F24" s="519"/>
      <c r="G24" s="519"/>
      <c r="H24" s="519"/>
      <c r="I24" s="519"/>
      <c r="J24" s="519"/>
      <c r="K24" s="519"/>
      <c r="L24" s="519"/>
      <c r="M24" s="519"/>
      <c r="N24" s="519"/>
      <c r="O24" s="519"/>
      <c r="P24" s="519"/>
      <c r="Q24" s="519"/>
      <c r="R24" s="519"/>
      <c r="S24" s="519"/>
      <c r="T24" s="519"/>
      <c r="U24" s="519"/>
      <c r="V24" s="519"/>
      <c r="W24" s="519"/>
      <c r="X24" s="519"/>
      <c r="Y24" s="606"/>
      <c r="Z24" s="520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2:35" ht="15" thickTop="1">
      <c r="B25" s="29"/>
      <c r="V25" s="597"/>
      <c r="X25" s="84"/>
    </row>
    <row r="26" spans="2:35" s="835" customFormat="1" ht="63" customHeight="1">
      <c r="D26" s="836"/>
      <c r="F26" s="528"/>
      <c r="H26" s="836"/>
      <c r="J26" s="863" t="s">
        <v>48</v>
      </c>
      <c r="L26" s="528"/>
      <c r="N26" s="528"/>
      <c r="P26" s="528"/>
      <c r="R26" s="528"/>
      <c r="T26" s="528"/>
      <c r="V26" s="528"/>
      <c r="X26" s="528" t="s">
        <v>49</v>
      </c>
      <c r="Y26" s="598"/>
      <c r="Z26" s="528"/>
    </row>
    <row r="27" spans="2:35" s="835" customFormat="1" ht="7.5" customHeight="1">
      <c r="N27" s="598"/>
      <c r="P27" s="598"/>
      <c r="R27" s="598"/>
      <c r="T27" s="598"/>
      <c r="V27" s="599"/>
      <c r="X27" s="598"/>
      <c r="Z27" s="598"/>
    </row>
    <row r="28" spans="2:35" s="835" customFormat="1" ht="63" customHeight="1">
      <c r="D28" s="836"/>
      <c r="F28" s="836"/>
      <c r="H28" s="836"/>
      <c r="J28" s="863" t="s">
        <v>50</v>
      </c>
      <c r="L28" s="836"/>
      <c r="N28" s="528"/>
      <c r="P28" s="528"/>
      <c r="R28" s="836"/>
      <c r="T28" s="836"/>
      <c r="V28" s="528"/>
      <c r="X28" s="528"/>
      <c r="Z28" s="528"/>
    </row>
    <row r="29" spans="2:35" s="835" customFormat="1" ht="14.25" customHeight="1">
      <c r="V29" s="599"/>
      <c r="X29" s="598"/>
      <c r="Z29" s="598"/>
    </row>
    <row r="30" spans="2:35" s="835" customFormat="1" ht="63" customHeight="1">
      <c r="D30" s="836"/>
      <c r="F30" s="836"/>
      <c r="H30" s="836"/>
      <c r="J30" s="863"/>
      <c r="L30" s="836"/>
      <c r="N30" s="836"/>
      <c r="P30" s="836"/>
      <c r="R30" s="836"/>
      <c r="T30" s="836"/>
      <c r="V30" s="528"/>
      <c r="X30" s="528"/>
      <c r="Z30" s="528"/>
    </row>
    <row r="31" spans="2:35" s="527" customFormat="1" ht="4.3499999999999996" customHeight="1">
      <c r="V31" s="599"/>
      <c r="X31" s="598"/>
    </row>
    <row r="32" spans="2:35" ht="63" customHeight="1">
      <c r="B32" s="29"/>
      <c r="D32" s="628"/>
      <c r="F32" s="628"/>
      <c r="H32" s="628"/>
      <c r="J32" s="528"/>
      <c r="L32" s="628"/>
      <c r="N32" s="628"/>
      <c r="P32" s="628"/>
      <c r="R32" s="628"/>
      <c r="T32" s="628"/>
      <c r="V32" s="629"/>
      <c r="X32" s="629"/>
      <c r="Z32" s="528"/>
    </row>
    <row r="33" spans="2:24">
      <c r="B33" s="29"/>
      <c r="V33" s="597"/>
      <c r="X33" s="84"/>
    </row>
    <row r="34" spans="2:24" ht="14.85" customHeight="1">
      <c r="B34" s="29"/>
      <c r="V34" s="84"/>
      <c r="X34" s="84"/>
    </row>
    <row r="35" spans="2:24">
      <c r="B35" s="29"/>
      <c r="V35" s="597"/>
      <c r="X35" s="84"/>
    </row>
    <row r="36" spans="2:24" ht="14.85" customHeight="1">
      <c r="B36" s="29"/>
      <c r="V36" s="84"/>
      <c r="X36" s="84"/>
    </row>
    <row r="37" spans="2:24">
      <c r="B37" s="29"/>
      <c r="V37" s="597"/>
      <c r="X37" s="84"/>
    </row>
    <row r="38" spans="2:24" ht="14.85" customHeight="1">
      <c r="B38" s="29"/>
      <c r="V38" s="84"/>
      <c r="X38" s="84"/>
    </row>
    <row r="39" spans="2:24">
      <c r="B39" s="29"/>
      <c r="V39" s="597"/>
      <c r="X39" s="84"/>
    </row>
    <row r="40" spans="2:24" ht="14.85" customHeight="1">
      <c r="B40" s="29"/>
      <c r="V40" s="84"/>
      <c r="X40" s="84"/>
    </row>
    <row r="41" spans="2:24">
      <c r="B41" s="29"/>
      <c r="V41" s="597"/>
      <c r="X41" s="84"/>
    </row>
    <row r="42" spans="2:24" ht="14.85" customHeight="1">
      <c r="B42" s="29"/>
      <c r="V42" s="84"/>
      <c r="X42" s="84"/>
    </row>
    <row r="43" spans="2:24">
      <c r="B43" s="29"/>
      <c r="V43" s="597"/>
      <c r="X43" s="84"/>
    </row>
    <row r="44" spans="2:24" ht="14.85" customHeight="1">
      <c r="B44" s="29"/>
      <c r="V44" s="84"/>
      <c r="X44" s="84"/>
    </row>
    <row r="45" spans="2:24">
      <c r="B45" s="29"/>
      <c r="V45" s="597"/>
      <c r="X45" s="84"/>
    </row>
    <row r="46" spans="2:24" ht="14.85" customHeight="1">
      <c r="B46" s="29"/>
      <c r="V46" s="84"/>
      <c r="X46" s="84"/>
    </row>
    <row r="47" spans="2:24">
      <c r="B47" s="29"/>
      <c r="V47" s="597"/>
      <c r="X47" s="84"/>
    </row>
    <row r="48" spans="2:24" ht="14.85" customHeight="1">
      <c r="B48" s="29"/>
      <c r="V48" s="84"/>
      <c r="X48" s="84"/>
    </row>
    <row r="49" spans="2:24">
      <c r="B49" s="29"/>
      <c r="V49" s="597"/>
      <c r="X49" s="84"/>
    </row>
    <row r="50" spans="2:24" ht="14.85" customHeight="1">
      <c r="B50" s="29"/>
      <c r="V50" s="84"/>
      <c r="X50" s="84"/>
    </row>
    <row r="51" spans="2:24">
      <c r="B51" s="29"/>
      <c r="V51" s="597"/>
      <c r="X51" s="84"/>
    </row>
    <row r="52" spans="2:24" ht="14.85" customHeight="1">
      <c r="B52" s="29"/>
      <c r="V52" s="84"/>
      <c r="X52" s="84"/>
    </row>
    <row r="53" spans="2:24">
      <c r="B53" s="29"/>
      <c r="V53" s="597"/>
      <c r="X53" s="84"/>
    </row>
    <row r="54" spans="2:24" ht="14.85" customHeight="1">
      <c r="B54" s="29"/>
      <c r="V54" s="84"/>
      <c r="X54" s="84"/>
    </row>
    <row r="55" spans="2:24">
      <c r="B55" s="29"/>
      <c r="V55" s="597"/>
      <c r="X55" s="84"/>
    </row>
    <row r="56" spans="2:24" ht="14.85" customHeight="1">
      <c r="B56" s="29"/>
      <c r="V56" s="84"/>
      <c r="X56" s="84"/>
    </row>
    <row r="57" spans="2:24">
      <c r="B57" s="29"/>
      <c r="V57" s="597"/>
      <c r="X57" s="84"/>
    </row>
    <row r="58" spans="2:24" ht="14.85" customHeight="1">
      <c r="B58" s="29"/>
      <c r="V58" s="84"/>
      <c r="X58" s="84"/>
    </row>
    <row r="59" spans="2:24">
      <c r="B59" s="29"/>
      <c r="V59" s="597"/>
      <c r="X59" s="84"/>
    </row>
    <row r="60" spans="2:24" ht="14.85" customHeight="1">
      <c r="B60" s="29"/>
      <c r="V60" s="84"/>
      <c r="X60" s="84"/>
    </row>
    <row r="61" spans="2:24">
      <c r="B61" s="29"/>
      <c r="V61" s="597"/>
      <c r="X61" s="84"/>
    </row>
    <row r="62" spans="2:24" ht="14.85" customHeight="1">
      <c r="B62" s="29"/>
      <c r="V62" s="84"/>
      <c r="X62" s="84"/>
    </row>
    <row r="63" spans="2:24">
      <c r="B63" s="29"/>
      <c r="V63" s="597"/>
      <c r="X63" s="84"/>
    </row>
    <row r="64" spans="2:24" ht="14.85" customHeight="1">
      <c r="B64" s="29"/>
      <c r="V64" s="84"/>
      <c r="X64" s="84"/>
    </row>
    <row r="65" spans="2:24">
      <c r="B65" s="29"/>
      <c r="V65" s="597"/>
      <c r="X65" s="84"/>
    </row>
    <row r="66" spans="2:24" ht="14.85" customHeight="1">
      <c r="B66" s="29"/>
      <c r="V66" s="84"/>
      <c r="X66" s="84"/>
    </row>
    <row r="67" spans="2:24">
      <c r="B67" s="29"/>
      <c r="V67" s="597"/>
      <c r="X67" s="84"/>
    </row>
    <row r="68" spans="2:24" ht="14.85" customHeight="1">
      <c r="B68" s="29"/>
      <c r="V68" s="84"/>
      <c r="X68" s="84"/>
    </row>
    <row r="69" spans="2:24">
      <c r="B69" s="29"/>
      <c r="V69" s="597"/>
      <c r="X69" s="84"/>
    </row>
    <row r="70" spans="2:24" ht="14.85" customHeight="1">
      <c r="B70" s="29"/>
      <c r="V70" s="84"/>
      <c r="X70" s="84"/>
    </row>
    <row r="71" spans="2:24">
      <c r="B71" s="29"/>
      <c r="V71" s="597"/>
      <c r="X71" s="84"/>
    </row>
    <row r="72" spans="2:24" ht="14.85" customHeight="1">
      <c r="B72" s="29"/>
      <c r="V72" s="84"/>
      <c r="X72" s="84"/>
    </row>
    <row r="73" spans="2:24">
      <c r="B73" s="29"/>
      <c r="V73" s="597"/>
      <c r="X73" s="84"/>
    </row>
    <row r="74" spans="2:24" ht="14.85" customHeight="1">
      <c r="B74" s="29"/>
      <c r="V74" s="84"/>
      <c r="X74" s="84"/>
    </row>
    <row r="75" spans="2:24">
      <c r="B75" s="29"/>
      <c r="V75" s="597"/>
      <c r="X75" s="84"/>
    </row>
    <row r="76" spans="2:24" ht="14.85" customHeight="1">
      <c r="B76" s="29"/>
      <c r="V76" s="84"/>
      <c r="X76" s="84"/>
    </row>
    <row r="77" spans="2:24">
      <c r="B77" s="29"/>
      <c r="V77" s="597"/>
      <c r="X77" s="84"/>
    </row>
    <row r="78" spans="2:24" ht="14.85" customHeight="1">
      <c r="B78" s="29"/>
      <c r="V78" s="84"/>
      <c r="X78" s="84"/>
    </row>
    <row r="79" spans="2:24">
      <c r="B79" s="29"/>
      <c r="V79" s="597"/>
      <c r="X79" s="84"/>
    </row>
    <row r="80" spans="2:24" ht="14.85" customHeight="1">
      <c r="B80" s="29"/>
      <c r="V80" s="84"/>
      <c r="X80" s="84"/>
    </row>
    <row r="81" spans="2:24">
      <c r="B81" s="29"/>
      <c r="V81" s="597"/>
      <c r="X81" s="84"/>
    </row>
    <row r="82" spans="2:24" ht="14.85" customHeight="1">
      <c r="B82" s="29"/>
      <c r="V82" s="84"/>
      <c r="X82" s="84"/>
    </row>
    <row r="83" spans="2:24">
      <c r="B83" s="29"/>
      <c r="V83" s="597"/>
      <c r="X83" s="84"/>
    </row>
    <row r="84" spans="2:24" ht="14.85" customHeight="1">
      <c r="B84" s="29"/>
      <c r="V84" s="84"/>
      <c r="X84" s="84"/>
    </row>
    <row r="85" spans="2:24">
      <c r="B85" s="29"/>
      <c r="V85" s="597"/>
      <c r="X85" s="84"/>
    </row>
    <row r="86" spans="2:24" ht="14.85" customHeight="1">
      <c r="B86" s="29"/>
      <c r="V86" s="84"/>
      <c r="X86" s="84"/>
    </row>
    <row r="87" spans="2:24">
      <c r="B87" s="29"/>
      <c r="V87" s="597"/>
      <c r="X87" s="84"/>
    </row>
    <row r="88" spans="2:24" ht="14.85" customHeight="1">
      <c r="B88" s="29"/>
      <c r="V88" s="84"/>
      <c r="X88" s="84"/>
    </row>
    <row r="89" spans="2:24">
      <c r="B89" s="29"/>
      <c r="V89" s="597"/>
      <c r="X89" s="84"/>
    </row>
    <row r="90" spans="2:24" ht="14.85" customHeight="1">
      <c r="B90" s="29"/>
      <c r="V90" s="84"/>
      <c r="X90" s="84"/>
    </row>
    <row r="91" spans="2:24">
      <c r="B91" s="29"/>
      <c r="V91" s="597"/>
      <c r="X91" s="84"/>
    </row>
    <row r="92" spans="2:24" ht="14.85" customHeight="1">
      <c r="B92" s="29"/>
      <c r="V92" s="84"/>
      <c r="X92" s="84"/>
    </row>
    <row r="93" spans="2:24">
      <c r="B93" s="29"/>
      <c r="V93" s="597"/>
      <c r="X93" s="84"/>
    </row>
    <row r="94" spans="2:24" ht="14.85" customHeight="1">
      <c r="B94" s="29"/>
      <c r="V94" s="84"/>
      <c r="X94" s="84"/>
    </row>
    <row r="95" spans="2:24">
      <c r="B95" s="29"/>
      <c r="V95" s="597"/>
      <c r="X95" s="84"/>
    </row>
    <row r="96" spans="2:24" ht="14.85" customHeight="1">
      <c r="B96" s="29"/>
      <c r="V96" s="84"/>
      <c r="X96" s="84"/>
    </row>
    <row r="97" spans="2:24">
      <c r="B97" s="29"/>
      <c r="V97" s="597"/>
      <c r="X97" s="84"/>
    </row>
    <row r="98" spans="2:24" ht="14.85" customHeight="1">
      <c r="B98" s="29"/>
      <c r="V98" s="84"/>
      <c r="X98" s="84"/>
    </row>
    <row r="99" spans="2:24">
      <c r="B99" s="29"/>
      <c r="V99" s="597"/>
      <c r="X99" s="84"/>
    </row>
    <row r="100" spans="2:24" ht="14.85" customHeight="1">
      <c r="B100" s="29"/>
      <c r="V100" s="84"/>
      <c r="X100" s="84"/>
    </row>
    <row r="101" spans="2:24">
      <c r="B101" s="29"/>
      <c r="V101" s="597"/>
      <c r="X101" s="84"/>
    </row>
    <row r="102" spans="2:24" ht="14.85" customHeight="1">
      <c r="B102" s="29"/>
      <c r="V102" s="84"/>
      <c r="X102" s="84"/>
    </row>
    <row r="103" spans="2:24">
      <c r="B103" s="29"/>
      <c r="V103" s="597"/>
      <c r="X103" s="84"/>
    </row>
    <row r="104" spans="2:24" ht="14.85" customHeight="1">
      <c r="B104" s="29"/>
      <c r="V104" s="84"/>
      <c r="X104" s="84"/>
    </row>
    <row r="105" spans="2:24">
      <c r="B105" s="29"/>
      <c r="V105" s="597"/>
      <c r="X105" s="84"/>
    </row>
    <row r="106" spans="2:24" ht="14.85" customHeight="1">
      <c r="B106" s="29"/>
      <c r="V106" s="84"/>
      <c r="X106" s="84"/>
    </row>
    <row r="107" spans="2:24">
      <c r="B107" s="29"/>
      <c r="V107" s="597"/>
      <c r="X107" s="84"/>
    </row>
    <row r="108" spans="2:24" ht="14.85" customHeight="1">
      <c r="B108" s="29"/>
      <c r="V108" s="84"/>
      <c r="X108" s="84"/>
    </row>
    <row r="109" spans="2:24">
      <c r="B109" s="29"/>
      <c r="V109" s="597"/>
      <c r="X109" s="84"/>
    </row>
    <row r="110" spans="2:24" ht="14.85" customHeight="1">
      <c r="B110" s="29"/>
      <c r="V110" s="84"/>
      <c r="X110" s="84"/>
    </row>
    <row r="111" spans="2:24">
      <c r="B111" s="29"/>
      <c r="V111" s="597"/>
      <c r="X111" s="84"/>
    </row>
    <row r="112" spans="2:24" ht="14.85" customHeight="1">
      <c r="B112" s="29"/>
      <c r="V112" s="84"/>
      <c r="X112" s="84"/>
    </row>
    <row r="113" spans="2:24">
      <c r="B113" s="29"/>
      <c r="V113" s="597"/>
      <c r="X113" s="84"/>
    </row>
    <row r="114" spans="2:24" ht="14.85" customHeight="1">
      <c r="B114" s="29"/>
      <c r="V114" s="84"/>
      <c r="X114" s="84"/>
    </row>
    <row r="115" spans="2:24">
      <c r="B115" s="29"/>
      <c r="V115" s="597"/>
      <c r="X115" s="84"/>
    </row>
    <row r="116" spans="2:24" ht="14.85" customHeight="1">
      <c r="B116" s="29"/>
      <c r="V116" s="84"/>
      <c r="X116" s="84"/>
    </row>
    <row r="117" spans="2:24">
      <c r="B117" s="29"/>
      <c r="V117" s="597"/>
      <c r="X117" s="84"/>
    </row>
    <row r="118" spans="2:24" ht="14.85" customHeight="1">
      <c r="B118" s="29"/>
      <c r="V118" s="84"/>
      <c r="X118" s="84"/>
    </row>
    <row r="119" spans="2:24">
      <c r="B119" s="29"/>
      <c r="V119" s="597"/>
      <c r="X119" s="84"/>
    </row>
    <row r="120" spans="2:24" ht="14.85" customHeight="1">
      <c r="B120" s="29"/>
      <c r="V120" s="84"/>
      <c r="X120" s="84"/>
    </row>
    <row r="121" spans="2:24">
      <c r="B121" s="29"/>
      <c r="V121" s="597"/>
      <c r="X121" s="84"/>
    </row>
    <row r="122" spans="2:24" ht="14.85" customHeight="1">
      <c r="B122" s="29"/>
      <c r="V122" s="84"/>
      <c r="X122" s="84"/>
    </row>
    <row r="123" spans="2:24">
      <c r="B123" s="29"/>
      <c r="V123" s="597"/>
      <c r="X123" s="84"/>
    </row>
    <row r="124" spans="2:24" ht="14.85" customHeight="1">
      <c r="B124" s="29"/>
      <c r="V124" s="84"/>
      <c r="X124" s="84"/>
    </row>
    <row r="125" spans="2:24">
      <c r="B125" s="29"/>
      <c r="V125" s="597"/>
      <c r="X125" s="84"/>
    </row>
    <row r="126" spans="2:24" ht="14.85" customHeight="1">
      <c r="B126" s="29"/>
      <c r="V126" s="84"/>
      <c r="X126" s="84"/>
    </row>
    <row r="127" spans="2:24">
      <c r="B127" s="29"/>
      <c r="V127" s="597"/>
      <c r="X127" s="84"/>
    </row>
    <row r="128" spans="2:24" ht="14.85" customHeight="1">
      <c r="B128" s="29"/>
      <c r="V128" s="84"/>
      <c r="X128" s="84"/>
    </row>
    <row r="129" spans="2:24">
      <c r="B129" s="29"/>
      <c r="V129" s="597"/>
      <c r="X129" s="84"/>
    </row>
    <row r="130" spans="2:24" ht="14.85" customHeight="1">
      <c r="B130" s="29"/>
      <c r="V130" s="84"/>
      <c r="X130" s="84"/>
    </row>
    <row r="131" spans="2:24">
      <c r="B131" s="29"/>
      <c r="V131" s="597"/>
      <c r="X131" s="84"/>
    </row>
    <row r="132" spans="2:24" ht="14.85" customHeight="1">
      <c r="B132" s="29"/>
      <c r="V132" s="84"/>
      <c r="X132" s="84"/>
    </row>
    <row r="133" spans="2:24">
      <c r="B133" s="29"/>
      <c r="V133" s="597"/>
      <c r="X133" s="84"/>
    </row>
    <row r="134" spans="2:24" ht="14.85" customHeight="1">
      <c r="B134" s="29"/>
      <c r="V134" s="84"/>
      <c r="X134" s="84"/>
    </row>
    <row r="135" spans="2:24">
      <c r="B135" s="29"/>
      <c r="V135" s="597"/>
      <c r="X135" s="84"/>
    </row>
    <row r="136" spans="2:24" ht="14.85" customHeight="1">
      <c r="B136" s="29"/>
      <c r="V136" s="84"/>
      <c r="X136" s="84"/>
    </row>
    <row r="137" spans="2:24">
      <c r="B137" s="29"/>
      <c r="V137" s="597"/>
      <c r="X137" s="84"/>
    </row>
    <row r="138" spans="2:24" ht="14.85" customHeight="1">
      <c r="B138" s="29"/>
      <c r="V138" s="84"/>
      <c r="X138" s="84"/>
    </row>
    <row r="139" spans="2:24">
      <c r="B139" s="29"/>
      <c r="V139" s="597"/>
      <c r="X139" s="84"/>
    </row>
    <row r="140" spans="2:24" ht="14.85" customHeight="1">
      <c r="B140" s="29"/>
      <c r="V140" s="84"/>
      <c r="X140" s="84"/>
    </row>
    <row r="141" spans="2:24">
      <c r="B141" s="29"/>
      <c r="V141" s="597"/>
      <c r="X141" s="84"/>
    </row>
    <row r="142" spans="2:24" ht="14.85" customHeight="1">
      <c r="B142" s="29"/>
      <c r="V142" s="84"/>
      <c r="X142" s="84"/>
    </row>
    <row r="143" spans="2:24">
      <c r="B143" s="29"/>
      <c r="V143" s="597"/>
      <c r="X143" s="84"/>
    </row>
    <row r="144" spans="2:24" ht="14.85" customHeight="1">
      <c r="B144" s="29"/>
      <c r="V144" s="84"/>
      <c r="X144" s="84"/>
    </row>
    <row r="145" spans="2:24">
      <c r="B145" s="29"/>
      <c r="V145" s="597"/>
      <c r="X145" s="84"/>
    </row>
    <row r="146" spans="2:24" ht="14.85" customHeight="1">
      <c r="B146" s="29"/>
      <c r="V146" s="84"/>
      <c r="X146" s="84"/>
    </row>
    <row r="147" spans="2:24">
      <c r="B147" s="29"/>
      <c r="V147" s="597"/>
      <c r="X147" s="84"/>
    </row>
    <row r="148" spans="2:24" ht="14.85" customHeight="1">
      <c r="B148" s="29"/>
      <c r="V148" s="84"/>
      <c r="X148" s="84"/>
    </row>
    <row r="149" spans="2:24">
      <c r="B149" s="29"/>
      <c r="V149" s="597"/>
      <c r="X149" s="84"/>
    </row>
    <row r="150" spans="2:24" ht="14.85" customHeight="1">
      <c r="B150" s="29"/>
      <c r="V150" s="84"/>
      <c r="X150" s="84"/>
    </row>
    <row r="151" spans="2:24">
      <c r="B151" s="29"/>
      <c r="V151" s="597"/>
      <c r="X151" s="84"/>
    </row>
    <row r="152" spans="2:24" ht="14.85" customHeight="1">
      <c r="B152" s="29"/>
      <c r="V152" s="84"/>
      <c r="X152" s="84"/>
    </row>
    <row r="153" spans="2:24">
      <c r="B153" s="29"/>
      <c r="V153" s="597"/>
      <c r="X153" s="84"/>
    </row>
    <row r="154" spans="2:24" ht="14.85" customHeight="1">
      <c r="B154" s="29"/>
      <c r="V154" s="84"/>
      <c r="X154" s="84"/>
    </row>
    <row r="155" spans="2:24">
      <c r="B155" s="29"/>
      <c r="V155" s="597"/>
      <c r="X155" s="84"/>
    </row>
    <row r="156" spans="2:24" ht="14.85" customHeight="1">
      <c r="B156" s="29"/>
      <c r="V156" s="84"/>
      <c r="X156" s="84"/>
    </row>
    <row r="157" spans="2:24">
      <c r="B157" s="29"/>
      <c r="V157" s="597"/>
      <c r="X157" s="84"/>
    </row>
    <row r="158" spans="2:24" ht="14.85" customHeight="1">
      <c r="B158" s="29"/>
      <c r="V158" s="84"/>
      <c r="X158" s="84"/>
    </row>
    <row r="159" spans="2:24">
      <c r="B159" s="29"/>
      <c r="V159" s="597"/>
      <c r="X159" s="84"/>
    </row>
    <row r="160" spans="2:24" ht="14.85" customHeight="1">
      <c r="B160" s="29"/>
      <c r="V160" s="84"/>
      <c r="X160" s="84"/>
    </row>
    <row r="161" spans="2:24">
      <c r="B161" s="29"/>
      <c r="V161" s="597"/>
      <c r="X161" s="84"/>
    </row>
    <row r="162" spans="2:24" ht="14.85" customHeight="1">
      <c r="B162" s="29"/>
      <c r="V162" s="84"/>
      <c r="X162" s="84"/>
    </row>
    <row r="163" spans="2:24">
      <c r="B163" s="29"/>
      <c r="V163" s="597"/>
      <c r="X163" s="84"/>
    </row>
    <row r="164" spans="2:24" ht="14.85" customHeight="1">
      <c r="B164" s="29"/>
      <c r="V164" s="84"/>
      <c r="X164" s="84"/>
    </row>
    <row r="165" spans="2:24">
      <c r="B165" s="29"/>
      <c r="V165" s="597"/>
      <c r="X165" s="84"/>
    </row>
    <row r="166" spans="2:24" ht="14.85" customHeight="1">
      <c r="B166" s="29"/>
      <c r="V166" s="84"/>
      <c r="X166" s="84"/>
    </row>
    <row r="167" spans="2:24">
      <c r="B167" s="29"/>
      <c r="V167" s="597"/>
      <c r="X167" s="84"/>
    </row>
    <row r="168" spans="2:24" ht="14.85" customHeight="1">
      <c r="B168" s="29"/>
      <c r="V168" s="84"/>
      <c r="X168" s="84"/>
    </row>
    <row r="169" spans="2:24">
      <c r="B169" s="29"/>
      <c r="V169" s="597"/>
      <c r="X169" s="84"/>
    </row>
    <row r="170" spans="2:24" ht="14.85" customHeight="1">
      <c r="B170" s="29"/>
      <c r="V170" s="84"/>
      <c r="X170" s="84"/>
    </row>
    <row r="171" spans="2:24">
      <c r="B171" s="29"/>
      <c r="V171" s="597"/>
      <c r="X171" s="84"/>
    </row>
    <row r="172" spans="2:24" ht="14.85" customHeight="1">
      <c r="B172" s="29"/>
      <c r="V172" s="84"/>
      <c r="X172" s="84"/>
    </row>
    <row r="173" spans="2:24">
      <c r="B173" s="29"/>
      <c r="V173" s="597"/>
      <c r="X173" s="84"/>
    </row>
    <row r="174" spans="2:24" ht="14.85" customHeight="1">
      <c r="B174" s="29"/>
      <c r="V174" s="84"/>
      <c r="X174" s="84"/>
    </row>
    <row r="175" spans="2:24">
      <c r="B175" s="29"/>
      <c r="V175" s="597"/>
      <c r="X175" s="84"/>
    </row>
    <row r="176" spans="2:24" ht="14.85" customHeight="1">
      <c r="B176" s="29"/>
      <c r="V176" s="84"/>
      <c r="X176" s="84"/>
    </row>
    <row r="177" spans="2:24">
      <c r="B177" s="29"/>
      <c r="V177" s="597"/>
      <c r="X177" s="84"/>
    </row>
    <row r="178" spans="2:24" ht="14.85" customHeight="1">
      <c r="B178" s="29"/>
      <c r="V178" s="84"/>
      <c r="X178" s="84"/>
    </row>
    <row r="179" spans="2:24">
      <c r="B179" s="29"/>
      <c r="V179" s="597"/>
      <c r="X179" s="84"/>
    </row>
    <row r="180" spans="2:24" ht="14.85" customHeight="1">
      <c r="B180" s="29"/>
      <c r="V180" s="84"/>
      <c r="X180" s="84"/>
    </row>
    <row r="181" spans="2:24">
      <c r="B181" s="29"/>
      <c r="V181" s="597"/>
      <c r="X181" s="84"/>
    </row>
    <row r="182" spans="2:24" ht="14.85" customHeight="1">
      <c r="B182" s="29"/>
      <c r="V182" s="84"/>
      <c r="X182" s="84"/>
    </row>
    <row r="183" spans="2:24">
      <c r="B183" s="29"/>
      <c r="V183" s="597"/>
      <c r="X183" s="84"/>
    </row>
    <row r="184" spans="2:24" ht="14.85" customHeight="1">
      <c r="B184" s="29"/>
      <c r="V184" s="84"/>
      <c r="X184" s="84"/>
    </row>
    <row r="185" spans="2:24">
      <c r="B185" s="29"/>
      <c r="V185" s="597"/>
      <c r="X185" s="84"/>
    </row>
    <row r="186" spans="2:24" ht="14.85" customHeight="1">
      <c r="B186" s="29"/>
      <c r="V186" s="84"/>
      <c r="X186" s="84"/>
    </row>
    <row r="187" spans="2:24">
      <c r="B187" s="29"/>
      <c r="V187" s="597"/>
      <c r="X187" s="84"/>
    </row>
    <row r="188" spans="2:24" ht="14.85" customHeight="1">
      <c r="B188" s="29"/>
      <c r="V188" s="84"/>
      <c r="X188" s="84"/>
    </row>
    <row r="189" spans="2:24">
      <c r="B189" s="29"/>
      <c r="V189" s="597"/>
      <c r="X189" s="84"/>
    </row>
    <row r="190" spans="2:24" ht="14.85" customHeight="1">
      <c r="B190" s="29"/>
      <c r="V190" s="84"/>
      <c r="X190" s="84"/>
    </row>
    <row r="191" spans="2:24">
      <c r="B191" s="29"/>
      <c r="V191" s="597"/>
      <c r="X191" s="84"/>
    </row>
    <row r="192" spans="2:24" ht="14.85" customHeight="1">
      <c r="B192" s="29"/>
      <c r="V192" s="84"/>
      <c r="X192" s="84"/>
    </row>
    <row r="193" spans="2:24">
      <c r="B193" s="29"/>
      <c r="V193" s="597"/>
      <c r="X193" s="84"/>
    </row>
    <row r="194" spans="2:24" ht="14.85" customHeight="1">
      <c r="B194" s="29"/>
      <c r="V194" s="84"/>
      <c r="X194" s="84"/>
    </row>
    <row r="195" spans="2:24">
      <c r="B195" s="29"/>
      <c r="V195" s="597"/>
      <c r="X195" s="84"/>
    </row>
    <row r="196" spans="2:24" ht="14.85" customHeight="1">
      <c r="B196" s="29"/>
      <c r="V196" s="84"/>
      <c r="X196" s="84"/>
    </row>
    <row r="197" spans="2:24">
      <c r="B197" s="29"/>
      <c r="V197" s="597"/>
      <c r="X197" s="84"/>
    </row>
    <row r="198" spans="2:24" ht="14.85" customHeight="1">
      <c r="B198" s="29"/>
      <c r="V198" s="84"/>
      <c r="X198" s="84"/>
    </row>
    <row r="199" spans="2:24">
      <c r="B199" s="29"/>
      <c r="V199" s="597"/>
      <c r="X199" s="84"/>
    </row>
    <row r="200" spans="2:24" ht="14.85" customHeight="1">
      <c r="B200" s="29"/>
      <c r="V200" s="84"/>
      <c r="X200" s="84"/>
    </row>
    <row r="201" spans="2:24">
      <c r="B201" s="29"/>
      <c r="V201" s="597"/>
      <c r="X201" s="84"/>
    </row>
    <row r="202" spans="2:24" ht="14.85" customHeight="1">
      <c r="B202" s="29"/>
      <c r="V202" s="84"/>
      <c r="X202" s="84"/>
    </row>
    <row r="203" spans="2:24">
      <c r="B203" s="29"/>
      <c r="V203" s="597"/>
      <c r="X203" s="84"/>
    </row>
    <row r="204" spans="2:24" ht="14.85" customHeight="1">
      <c r="B204" s="29"/>
      <c r="V204" s="84"/>
      <c r="X204" s="84"/>
    </row>
    <row r="205" spans="2:24">
      <c r="B205" s="29"/>
      <c r="V205" s="597"/>
      <c r="X205" s="84"/>
    </row>
    <row r="206" spans="2:24" ht="14.85" customHeight="1">
      <c r="B206" s="29"/>
      <c r="V206" s="84"/>
      <c r="X206" s="84"/>
    </row>
    <row r="207" spans="2:24">
      <c r="B207" s="29"/>
      <c r="V207" s="597"/>
      <c r="X207" s="84"/>
    </row>
    <row r="208" spans="2:24" ht="14.85" customHeight="1">
      <c r="B208" s="29"/>
      <c r="V208" s="84"/>
      <c r="X208" s="84"/>
    </row>
    <row r="209" spans="2:24">
      <c r="B209" s="29"/>
      <c r="V209" s="597"/>
      <c r="X209" s="84"/>
    </row>
    <row r="210" spans="2:24" ht="14.85" customHeight="1">
      <c r="B210" s="29"/>
      <c r="V210" s="84"/>
      <c r="X210" s="84"/>
    </row>
    <row r="211" spans="2:24">
      <c r="B211" s="29"/>
      <c r="V211" s="597"/>
      <c r="X211" s="84"/>
    </row>
    <row r="212" spans="2:24" ht="14.85" customHeight="1">
      <c r="B212" s="29"/>
      <c r="V212" s="84"/>
      <c r="X212" s="84"/>
    </row>
    <row r="213" spans="2:24">
      <c r="B213" s="29"/>
      <c r="V213" s="597"/>
      <c r="X213" s="84"/>
    </row>
    <row r="214" spans="2:24" ht="14.85" customHeight="1">
      <c r="B214" s="29"/>
      <c r="V214" s="84"/>
      <c r="X214" s="84"/>
    </row>
    <row r="215" spans="2:24">
      <c r="B215" s="29"/>
      <c r="V215" s="597"/>
      <c r="X215" s="84"/>
    </row>
    <row r="216" spans="2:24" ht="14.85" customHeight="1">
      <c r="B216" s="29"/>
      <c r="V216" s="84"/>
      <c r="X216" s="84"/>
    </row>
    <row r="217" spans="2:24">
      <c r="B217" s="29"/>
      <c r="V217" s="597"/>
      <c r="X217" s="84"/>
    </row>
    <row r="218" spans="2:24" ht="14.85" customHeight="1">
      <c r="B218" s="29"/>
      <c r="V218" s="84"/>
      <c r="X218" s="84"/>
    </row>
    <row r="219" spans="2:24">
      <c r="B219" s="29"/>
      <c r="V219" s="597"/>
      <c r="X219" s="84"/>
    </row>
    <row r="220" spans="2:24" ht="14.85" customHeight="1">
      <c r="B220" s="29"/>
      <c r="V220" s="84"/>
      <c r="X220" s="84"/>
    </row>
    <row r="221" spans="2:24">
      <c r="B221" s="29"/>
      <c r="V221" s="597"/>
      <c r="X221" s="84"/>
    </row>
    <row r="222" spans="2:24" ht="14.85" customHeight="1">
      <c r="B222" s="29"/>
      <c r="V222" s="84"/>
      <c r="X222" s="84"/>
    </row>
    <row r="223" spans="2:24">
      <c r="B223" s="29"/>
      <c r="V223" s="597"/>
      <c r="X223" s="84"/>
    </row>
    <row r="224" spans="2:24" ht="14.85" customHeight="1">
      <c r="B224" s="29"/>
      <c r="V224" s="84"/>
      <c r="X224" s="84"/>
    </row>
    <row r="225" spans="2:24">
      <c r="B225" s="29"/>
      <c r="V225" s="597"/>
      <c r="X225" s="84"/>
    </row>
    <row r="226" spans="2:24" ht="14.85" customHeight="1">
      <c r="B226" s="29"/>
      <c r="V226" s="84"/>
      <c r="X226" s="84"/>
    </row>
    <row r="227" spans="2:24">
      <c r="B227" s="29"/>
      <c r="V227" s="597"/>
      <c r="X227" s="84"/>
    </row>
    <row r="228" spans="2:24" ht="14.85" customHeight="1">
      <c r="B228" s="29"/>
      <c r="V228" s="84"/>
      <c r="X228" s="84"/>
    </row>
    <row r="229" spans="2:24">
      <c r="B229" s="29"/>
      <c r="V229" s="597"/>
      <c r="X229" s="84"/>
    </row>
    <row r="230" spans="2:24" ht="14.85" customHeight="1">
      <c r="B230" s="29"/>
      <c r="V230" s="84"/>
      <c r="X230" s="84"/>
    </row>
    <row r="231" spans="2:24">
      <c r="B231" s="29"/>
      <c r="V231" s="597"/>
      <c r="X231" s="84"/>
    </row>
    <row r="232" spans="2:24" ht="14.85" customHeight="1">
      <c r="B232" s="29"/>
      <c r="V232" s="84"/>
      <c r="X232" s="84"/>
    </row>
    <row r="233" spans="2:24">
      <c r="B233" s="29"/>
      <c r="V233" s="597"/>
      <c r="X233" s="84"/>
    </row>
    <row r="234" spans="2:24" ht="14.85" customHeight="1">
      <c r="B234" s="29"/>
      <c r="V234" s="84"/>
      <c r="X234" s="84"/>
    </row>
    <row r="235" spans="2:24">
      <c r="B235" s="29"/>
      <c r="V235" s="597"/>
      <c r="X235" s="84"/>
    </row>
    <row r="236" spans="2:24" ht="14.85" customHeight="1">
      <c r="B236" s="29"/>
      <c r="V236" s="84"/>
      <c r="X236" s="84"/>
    </row>
    <row r="237" spans="2:24">
      <c r="B237" s="29"/>
      <c r="V237" s="597"/>
      <c r="X237" s="84"/>
    </row>
    <row r="238" spans="2:24" ht="14.85" customHeight="1">
      <c r="B238" s="29"/>
      <c r="V238" s="84"/>
      <c r="X238" s="84"/>
    </row>
    <row r="239" spans="2:24">
      <c r="B239" s="29"/>
      <c r="V239" s="597"/>
      <c r="X239" s="84"/>
    </row>
    <row r="240" spans="2:24" ht="14.85" customHeight="1">
      <c r="B240" s="29"/>
      <c r="V240" s="84"/>
      <c r="X240" s="84"/>
    </row>
    <row r="241" spans="2:24">
      <c r="B241" s="29"/>
      <c r="V241" s="597"/>
      <c r="X241" s="84"/>
    </row>
    <row r="242" spans="2:24" ht="14.85" customHeight="1">
      <c r="B242" s="29"/>
      <c r="V242" s="84"/>
      <c r="X242" s="84"/>
    </row>
    <row r="243" spans="2:24">
      <c r="B243" s="29"/>
      <c r="V243" s="597"/>
      <c r="X243" s="84"/>
    </row>
    <row r="244" spans="2:24" ht="14.85" customHeight="1">
      <c r="B244" s="29"/>
      <c r="V244" s="84"/>
      <c r="X244" s="84"/>
    </row>
    <row r="245" spans="2:24">
      <c r="B245" s="29"/>
      <c r="V245" s="597"/>
      <c r="X245" s="84"/>
    </row>
    <row r="246" spans="2:24" ht="14.85" customHeight="1">
      <c r="B246" s="29"/>
      <c r="V246" s="84"/>
      <c r="X246" s="84"/>
    </row>
    <row r="247" spans="2:24">
      <c r="B247" s="29"/>
      <c r="V247" s="597"/>
      <c r="X247" s="84"/>
    </row>
    <row r="248" spans="2:24" ht="14.85" customHeight="1">
      <c r="B248" s="29"/>
      <c r="V248" s="84"/>
      <c r="X248" s="84"/>
    </row>
    <row r="249" spans="2:24">
      <c r="B249" s="29"/>
      <c r="V249" s="597"/>
      <c r="X249" s="84"/>
    </row>
    <row r="250" spans="2:24" ht="14.85" customHeight="1">
      <c r="B250" s="29"/>
      <c r="V250" s="84"/>
      <c r="X250" s="84"/>
    </row>
    <row r="251" spans="2:24">
      <c r="B251" s="29"/>
      <c r="V251" s="597"/>
      <c r="X251" s="84"/>
    </row>
    <row r="252" spans="2:24" ht="14.85" customHeight="1">
      <c r="B252" s="29"/>
      <c r="V252" s="84"/>
      <c r="X252" s="84"/>
    </row>
    <row r="253" spans="2:24">
      <c r="B253" s="29"/>
      <c r="V253" s="597"/>
      <c r="X253" s="84"/>
    </row>
    <row r="254" spans="2:24" ht="14.85" customHeight="1">
      <c r="B254" s="29"/>
      <c r="V254" s="84"/>
      <c r="X254" s="84"/>
    </row>
    <row r="255" spans="2:24">
      <c r="B255" s="29"/>
      <c r="V255" s="597"/>
      <c r="X255" s="84"/>
    </row>
    <row r="256" spans="2:24" ht="14.85" customHeight="1">
      <c r="B256" s="29"/>
      <c r="V256" s="84"/>
      <c r="X256" s="84"/>
    </row>
    <row r="257" spans="2:24">
      <c r="B257" s="29"/>
      <c r="V257" s="597"/>
      <c r="X257" s="84"/>
    </row>
    <row r="258" spans="2:24" ht="14.85" customHeight="1">
      <c r="B258" s="29"/>
      <c r="V258" s="84"/>
      <c r="X258" s="84"/>
    </row>
    <row r="259" spans="2:24">
      <c r="B259" s="29"/>
      <c r="V259" s="597"/>
      <c r="X259" s="84"/>
    </row>
    <row r="260" spans="2:24" ht="14.85" customHeight="1">
      <c r="B260" s="29"/>
      <c r="V260" s="84"/>
      <c r="X260" s="84"/>
    </row>
    <row r="261" spans="2:24">
      <c r="B261" s="29"/>
      <c r="V261" s="597"/>
      <c r="X261" s="84"/>
    </row>
    <row r="262" spans="2:24" ht="14.85" customHeight="1">
      <c r="B262" s="29"/>
      <c r="V262" s="84"/>
      <c r="X262" s="84"/>
    </row>
    <row r="263" spans="2:24">
      <c r="B263" s="29"/>
      <c r="V263" s="597"/>
      <c r="X263" s="84"/>
    </row>
    <row r="264" spans="2:24" ht="14.85" customHeight="1">
      <c r="B264" s="29"/>
      <c r="V264" s="84"/>
      <c r="X264" s="84"/>
    </row>
    <row r="265" spans="2:24">
      <c r="B265" s="29"/>
      <c r="V265" s="597"/>
      <c r="X265" s="84"/>
    </row>
    <row r="266" spans="2:24" ht="14.85" customHeight="1">
      <c r="B266" s="29"/>
      <c r="V266" s="84"/>
      <c r="X266" s="84"/>
    </row>
    <row r="267" spans="2:24">
      <c r="B267" s="29"/>
      <c r="V267" s="597"/>
      <c r="X267" s="84"/>
    </row>
    <row r="268" spans="2:24" ht="14.85" customHeight="1">
      <c r="B268" s="29"/>
      <c r="V268" s="84"/>
      <c r="X268" s="84"/>
    </row>
    <row r="269" spans="2:24">
      <c r="B269" s="29"/>
      <c r="V269" s="597"/>
      <c r="X269" s="84"/>
    </row>
    <row r="270" spans="2:24" ht="14.85" customHeight="1">
      <c r="B270" s="29"/>
      <c r="V270" s="84"/>
      <c r="X270" s="84"/>
    </row>
    <row r="271" spans="2:24">
      <c r="B271" s="29"/>
      <c r="V271" s="597"/>
      <c r="X271" s="84"/>
    </row>
    <row r="272" spans="2:24" ht="14.85" customHeight="1">
      <c r="B272" s="29"/>
      <c r="V272" s="84"/>
      <c r="X272" s="84"/>
    </row>
    <row r="273" spans="2:24">
      <c r="B273" s="29"/>
      <c r="V273" s="597"/>
      <c r="X273" s="84"/>
    </row>
    <row r="274" spans="2:24" ht="14.85" customHeight="1">
      <c r="B274" s="29"/>
      <c r="V274" s="84"/>
      <c r="X274" s="84"/>
    </row>
    <row r="275" spans="2:24">
      <c r="B275" s="29"/>
      <c r="V275" s="597"/>
      <c r="X275" s="84"/>
    </row>
    <row r="276" spans="2:24" ht="14.85" customHeight="1">
      <c r="B276" s="29"/>
      <c r="V276" s="84"/>
      <c r="X276" s="84"/>
    </row>
    <row r="277" spans="2:24">
      <c r="B277" s="29"/>
      <c r="V277" s="597"/>
      <c r="X277" s="84"/>
    </row>
    <row r="278" spans="2:24" ht="14.85" customHeight="1">
      <c r="B278" s="29"/>
      <c r="V278" s="84"/>
      <c r="X278" s="84"/>
    </row>
    <row r="279" spans="2:24">
      <c r="B279" s="29"/>
      <c r="V279" s="597"/>
      <c r="X279" s="84"/>
    </row>
    <row r="280" spans="2:24" ht="14.85" customHeight="1">
      <c r="B280" s="29"/>
      <c r="V280" s="84"/>
      <c r="X280" s="84"/>
    </row>
    <row r="281" spans="2:24">
      <c r="B281" s="29"/>
      <c r="V281" s="597"/>
      <c r="X281" s="84"/>
    </row>
    <row r="282" spans="2:24" ht="14.85" customHeight="1">
      <c r="B282" s="29"/>
      <c r="V282" s="84"/>
      <c r="X282" s="84"/>
    </row>
    <row r="283" spans="2:24">
      <c r="B283" s="29"/>
      <c r="V283" s="597"/>
      <c r="X283" s="84"/>
    </row>
    <row r="284" spans="2:24" ht="14.85" customHeight="1">
      <c r="B284" s="29"/>
      <c r="V284" s="84"/>
      <c r="X284" s="84"/>
    </row>
    <row r="285" spans="2:24">
      <c r="B285" s="29"/>
      <c r="V285" s="597"/>
      <c r="X285" s="84"/>
    </row>
    <row r="286" spans="2:24" ht="14.85" customHeight="1">
      <c r="B286" s="29"/>
      <c r="V286" s="84"/>
      <c r="X286" s="84"/>
    </row>
    <row r="287" spans="2:24">
      <c r="B287" s="29"/>
      <c r="V287" s="597"/>
      <c r="X287" s="84"/>
    </row>
    <row r="288" spans="2:24" ht="14.85" customHeight="1">
      <c r="B288" s="29"/>
      <c r="V288" s="84"/>
      <c r="X288" s="84"/>
    </row>
    <row r="289" spans="2:24">
      <c r="B289" s="29"/>
      <c r="V289" s="597"/>
      <c r="X289" s="84"/>
    </row>
    <row r="290" spans="2:24" ht="14.85" customHeight="1">
      <c r="B290" s="29"/>
      <c r="V290" s="84"/>
      <c r="X290" s="84"/>
    </row>
    <row r="291" spans="2:24">
      <c r="B291" s="29"/>
      <c r="V291" s="597"/>
      <c r="X291" s="84"/>
    </row>
    <row r="292" spans="2:24" ht="14.85" customHeight="1">
      <c r="B292" s="29"/>
      <c r="V292" s="84"/>
      <c r="X292" s="84"/>
    </row>
    <row r="293" spans="2:24">
      <c r="B293" s="29"/>
      <c r="V293" s="597"/>
      <c r="X293" s="84"/>
    </row>
    <row r="294" spans="2:24" ht="14.85" customHeight="1">
      <c r="B294" s="29"/>
      <c r="V294" s="84"/>
      <c r="X294" s="84"/>
    </row>
    <row r="295" spans="2:24">
      <c r="B295" s="29"/>
      <c r="V295" s="597"/>
      <c r="X295" s="84"/>
    </row>
    <row r="296" spans="2:24" ht="14.85" customHeight="1">
      <c r="B296" s="29"/>
      <c r="V296" s="84"/>
      <c r="X296" s="84"/>
    </row>
    <row r="297" spans="2:24">
      <c r="B297" s="29"/>
      <c r="V297" s="597"/>
      <c r="X297" s="84"/>
    </row>
    <row r="298" spans="2:24" ht="14.85" customHeight="1">
      <c r="B298" s="29"/>
      <c r="V298" s="84"/>
      <c r="X298" s="84"/>
    </row>
    <row r="299" spans="2:24">
      <c r="B299" s="29"/>
      <c r="V299" s="597"/>
      <c r="X299" s="84"/>
    </row>
    <row r="300" spans="2:24" ht="14.85" customHeight="1">
      <c r="B300" s="29"/>
      <c r="V300" s="84"/>
      <c r="X300" s="84"/>
    </row>
    <row r="301" spans="2:24">
      <c r="B301" s="29"/>
      <c r="V301" s="597"/>
      <c r="X301" s="84"/>
    </row>
    <row r="302" spans="2:24" ht="14.85" customHeight="1">
      <c r="B302" s="29"/>
      <c r="V302" s="84"/>
      <c r="X302" s="84"/>
    </row>
    <row r="303" spans="2:24">
      <c r="B303" s="29"/>
      <c r="V303" s="597"/>
      <c r="X303" s="84"/>
    </row>
    <row r="304" spans="2:24" ht="14.85" customHeight="1">
      <c r="B304" s="29"/>
      <c r="V304" s="84"/>
      <c r="X304" s="84"/>
    </row>
    <row r="305" spans="2:24">
      <c r="B305" s="29"/>
      <c r="V305" s="597"/>
      <c r="X305" s="84"/>
    </row>
    <row r="306" spans="2:24" ht="14.85" customHeight="1">
      <c r="B306" s="29"/>
      <c r="V306" s="84"/>
      <c r="X306" s="84"/>
    </row>
    <row r="307" spans="2:24">
      <c r="B307" s="29"/>
      <c r="V307" s="597"/>
      <c r="X307" s="84"/>
    </row>
    <row r="308" spans="2:24" ht="14.85" customHeight="1">
      <c r="B308" s="29"/>
      <c r="V308" s="84"/>
      <c r="X308" s="84"/>
    </row>
    <row r="309" spans="2:24">
      <c r="B309" s="29"/>
      <c r="V309" s="597"/>
      <c r="X309" s="84"/>
    </row>
    <row r="310" spans="2:24" ht="14.85" customHeight="1">
      <c r="B310" s="29"/>
      <c r="V310" s="84"/>
      <c r="X310" s="84"/>
    </row>
    <row r="311" spans="2:24">
      <c r="B311" s="29"/>
      <c r="V311" s="597"/>
      <c r="X311" s="84"/>
    </row>
    <row r="312" spans="2:24" ht="14.85" customHeight="1">
      <c r="B312" s="29"/>
      <c r="V312" s="84"/>
      <c r="X312" s="84"/>
    </row>
    <row r="313" spans="2:24">
      <c r="B313" s="29"/>
      <c r="V313" s="597"/>
      <c r="X313" s="84"/>
    </row>
    <row r="314" spans="2:24" ht="14.85" customHeight="1">
      <c r="B314" s="29"/>
      <c r="V314" s="84"/>
      <c r="X314" s="84"/>
    </row>
    <row r="315" spans="2:24">
      <c r="B315" s="29"/>
      <c r="V315" s="597"/>
      <c r="X315" s="84"/>
    </row>
    <row r="316" spans="2:24" ht="14.85" customHeight="1">
      <c r="B316" s="29"/>
      <c r="V316" s="84"/>
      <c r="X316" s="84"/>
    </row>
    <row r="317" spans="2:24">
      <c r="B317" s="29"/>
      <c r="V317" s="597"/>
      <c r="X317" s="84"/>
    </row>
    <row r="318" spans="2:24" ht="14.85" customHeight="1">
      <c r="B318" s="29"/>
      <c r="V318" s="84"/>
      <c r="X318" s="84"/>
    </row>
    <row r="319" spans="2:24">
      <c r="B319" s="29"/>
      <c r="V319" s="597"/>
      <c r="X319" s="84"/>
    </row>
    <row r="320" spans="2:24" ht="14.85" customHeight="1">
      <c r="B320" s="29"/>
      <c r="V320" s="84"/>
      <c r="X320" s="84"/>
    </row>
    <row r="321" spans="2:24">
      <c r="B321" s="29"/>
      <c r="V321" s="597"/>
      <c r="X321" s="84"/>
    </row>
    <row r="322" spans="2:24" ht="14.85" customHeight="1">
      <c r="B322" s="29"/>
      <c r="V322" s="84"/>
      <c r="X322" s="84"/>
    </row>
    <row r="323" spans="2:24">
      <c r="B323" s="29"/>
      <c r="V323" s="597"/>
      <c r="X323" s="84"/>
    </row>
    <row r="324" spans="2:24" ht="14.85" customHeight="1">
      <c r="B324" s="29"/>
      <c r="V324" s="84"/>
      <c r="X324" s="84"/>
    </row>
    <row r="325" spans="2:24">
      <c r="B325" s="29"/>
      <c r="V325" s="597"/>
      <c r="X325" s="84"/>
    </row>
    <row r="326" spans="2:24" ht="14.85" customHeight="1">
      <c r="B326" s="29"/>
      <c r="V326" s="84"/>
      <c r="X326" s="84"/>
    </row>
    <row r="327" spans="2:24">
      <c r="B327" s="29"/>
      <c r="V327" s="597"/>
      <c r="X327" s="84"/>
    </row>
    <row r="328" spans="2:24" ht="14.85" customHeight="1">
      <c r="B328" s="29"/>
      <c r="V328" s="84"/>
      <c r="X328" s="84"/>
    </row>
    <row r="329" spans="2:24">
      <c r="B329" s="29"/>
      <c r="V329" s="597"/>
      <c r="X329" s="84"/>
    </row>
    <row r="330" spans="2:24" ht="14.85" customHeight="1">
      <c r="B330" s="29"/>
      <c r="V330" s="84"/>
      <c r="X330" s="84"/>
    </row>
    <row r="331" spans="2:24">
      <c r="B331" s="29"/>
      <c r="V331" s="597"/>
      <c r="X331" s="84"/>
    </row>
  </sheetData>
  <mergeCells count="3">
    <mergeCell ref="C12:C13"/>
    <mergeCell ref="C2:X2"/>
    <mergeCell ref="J21:J22"/>
  </mergeCells>
  <conditionalFormatting sqref="D17 F17 H17 J17 L17 N17 P17 X17">
    <cfRule type="cellIs" dxfId="17" priority="19" operator="between">
      <formula>1</formula>
      <formula>10</formula>
    </cfRule>
    <cfRule type="cellIs" dxfId="16" priority="20" operator="between">
      <formula>0.51</formula>
      <formula>0.99</formula>
    </cfRule>
    <cfRule type="cellIs" dxfId="15" priority="21" operator="between">
      <formula>0</formula>
      <formula>0.5</formula>
    </cfRule>
  </conditionalFormatting>
  <conditionalFormatting sqref="R17">
    <cfRule type="cellIs" dxfId="14" priority="10" operator="between">
      <formula>1</formula>
      <formula>10</formula>
    </cfRule>
    <cfRule type="cellIs" dxfId="13" priority="11" operator="between">
      <formula>0.51</formula>
      <formula>0.99</formula>
    </cfRule>
    <cfRule type="cellIs" dxfId="12" priority="12" operator="between">
      <formula>0</formula>
      <formula>0.5</formula>
    </cfRule>
  </conditionalFormatting>
  <conditionalFormatting sqref="T17">
    <cfRule type="cellIs" dxfId="11" priority="16" operator="between">
      <formula>1</formula>
      <formula>10</formula>
    </cfRule>
    <cfRule type="cellIs" dxfId="10" priority="17" operator="between">
      <formula>0.51</formula>
      <formula>0.99</formula>
    </cfRule>
    <cfRule type="cellIs" dxfId="9" priority="18" operator="between">
      <formula>0</formula>
      <formula>0.5</formula>
    </cfRule>
  </conditionalFormatting>
  <conditionalFormatting sqref="V17">
    <cfRule type="cellIs" dxfId="8" priority="13" operator="between">
      <formula>1</formula>
      <formula>10</formula>
    </cfRule>
    <cfRule type="cellIs" dxfId="7" priority="14" operator="between">
      <formula>0.51</formula>
      <formula>0.99</formula>
    </cfRule>
    <cfRule type="cellIs" dxfId="6" priority="15" operator="between">
      <formula>0</formula>
      <formula>0.5</formula>
    </cfRule>
  </conditionalFormatting>
  <conditionalFormatting sqref="Z17">
    <cfRule type="cellIs" dxfId="5" priority="1" operator="between">
      <formula>1</formula>
      <formula>10</formula>
    </cfRule>
    <cfRule type="cellIs" dxfId="4" priority="2" operator="between">
      <formula>0.51</formula>
      <formula>0.99</formula>
    </cfRule>
    <cfRule type="cellIs" dxfId="3" priority="3" operator="between">
      <formula>0</formula>
      <formula>0.5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6A44-688A-4864-AEB5-8560CFC753E5}">
  <sheetPr codeName="Planilha2">
    <tabColor rgb="FF0000FF"/>
  </sheetPr>
  <dimension ref="A1:AR55"/>
  <sheetViews>
    <sheetView showGridLines="0" zoomScaleNormal="100" workbookViewId="0">
      <pane xSplit="2" ySplit="2" topLeftCell="H3" activePane="bottomRight" state="frozen"/>
      <selection pane="topRight"/>
      <selection pane="bottomLeft"/>
      <selection pane="bottomRight" activeCell="AU11" sqref="AU11"/>
    </sheetView>
  </sheetViews>
  <sheetFormatPr defaultColWidth="9.5" defaultRowHeight="11.25"/>
  <cols>
    <col min="1" max="1" width="9.5" style="788" customWidth="1"/>
    <col min="2" max="2" width="28.5" style="816" customWidth="1"/>
    <col min="3" max="3" width="9.5" style="788" hidden="1" customWidth="1"/>
    <col min="4" max="4" width="12.5" style="788" hidden="1" customWidth="1"/>
    <col min="5" max="5" width="17.5" style="788" hidden="1" customWidth="1"/>
    <col min="6" max="6" width="18.5" style="788" hidden="1" customWidth="1"/>
    <col min="7" max="7" width="16" style="788" hidden="1" customWidth="1"/>
    <col min="8" max="8" width="10.5" style="791" hidden="1" customWidth="1"/>
    <col min="9" max="10" width="8" style="791" hidden="1" customWidth="1"/>
    <col min="11" max="11" width="7.5" style="790" hidden="1" customWidth="1"/>
    <col min="12" max="12" width="8" style="790" hidden="1" customWidth="1"/>
    <col min="13" max="13" width="9" style="791" hidden="1" customWidth="1"/>
    <col min="14" max="14" width="8" style="791" hidden="1" customWidth="1"/>
    <col min="15" max="15" width="8" style="790" hidden="1" customWidth="1"/>
    <col min="16" max="16" width="10" style="790" hidden="1" customWidth="1"/>
    <col min="17" max="18" width="9" style="791" hidden="1" customWidth="1"/>
    <col min="19" max="21" width="9" style="791" customWidth="1"/>
    <col min="22" max="25" width="9.5" style="791" customWidth="1"/>
    <col min="26" max="26" width="9.5" style="791" hidden="1" customWidth="1"/>
    <col min="27" max="27" width="9" style="791" hidden="1" customWidth="1"/>
    <col min="28" max="28" width="9" style="792" hidden="1" customWidth="1"/>
    <col min="29" max="38" width="9" style="791" hidden="1" customWidth="1"/>
    <col min="39" max="39" width="9.5" style="793" customWidth="1"/>
    <col min="40" max="40" width="15.5" style="788" customWidth="1"/>
    <col min="41" max="41" width="9.5" style="823" customWidth="1"/>
    <col min="42" max="46" width="9.5" style="788" customWidth="1"/>
    <col min="47" max="16384" width="9.5" style="788"/>
  </cols>
  <sheetData>
    <row r="1" spans="1:44" ht="24.75" customHeight="1" thickBot="1">
      <c r="A1" s="891">
        <f ca="1">TODAY()</f>
        <v>46309</v>
      </c>
      <c r="B1" s="892"/>
      <c r="C1" s="787"/>
      <c r="H1" s="824"/>
      <c r="I1" s="824"/>
      <c r="J1" s="824"/>
      <c r="K1" s="825"/>
      <c r="L1" s="825"/>
      <c r="M1" s="824"/>
      <c r="N1" s="824"/>
      <c r="O1" s="825"/>
      <c r="P1" s="825" t="s">
        <v>51</v>
      </c>
      <c r="Q1" s="824"/>
      <c r="R1" s="824"/>
      <c r="S1" s="825" t="s">
        <v>52</v>
      </c>
      <c r="T1" s="824"/>
      <c r="U1" s="824"/>
      <c r="V1" s="825"/>
      <c r="W1" s="824"/>
      <c r="X1" s="824"/>
      <c r="AC1" s="789"/>
      <c r="AE1" s="789"/>
      <c r="AI1" s="789"/>
      <c r="AJ1" s="789"/>
      <c r="AK1" s="789"/>
      <c r="AL1" s="789"/>
      <c r="AN1" s="893" t="s">
        <v>53</v>
      </c>
      <c r="AO1" s="893"/>
      <c r="AP1" s="829">
        <v>8</v>
      </c>
    </row>
    <row r="2" spans="1:44" ht="12" thickTop="1">
      <c r="A2" s="529" t="s">
        <v>54</v>
      </c>
      <c r="B2" s="530" t="s">
        <v>55</v>
      </c>
      <c r="C2" s="530" t="s">
        <v>56</v>
      </c>
      <c r="D2" s="530" t="s">
        <v>57</v>
      </c>
      <c r="E2" s="530" t="s">
        <v>58</v>
      </c>
      <c r="F2" s="530" t="s">
        <v>59</v>
      </c>
      <c r="G2" s="530" t="s">
        <v>60</v>
      </c>
      <c r="H2" s="794">
        <v>46296</v>
      </c>
      <c r="I2" s="794">
        <v>46297</v>
      </c>
      <c r="J2" s="794">
        <v>46298</v>
      </c>
      <c r="K2" s="794">
        <v>46299</v>
      </c>
      <c r="L2" s="794">
        <v>46300</v>
      </c>
      <c r="M2" s="794">
        <v>46301</v>
      </c>
      <c r="N2" s="794">
        <v>46302</v>
      </c>
      <c r="O2" s="794">
        <v>46303</v>
      </c>
      <c r="P2" s="794">
        <v>46304</v>
      </c>
      <c r="Q2" s="794">
        <v>46305</v>
      </c>
      <c r="R2" s="794">
        <v>46306</v>
      </c>
      <c r="S2" s="794">
        <v>46307</v>
      </c>
      <c r="T2" s="794">
        <v>46308</v>
      </c>
      <c r="U2" s="794">
        <v>46309</v>
      </c>
      <c r="V2" s="794">
        <v>46310</v>
      </c>
      <c r="W2" s="794">
        <v>46311</v>
      </c>
      <c r="X2" s="794">
        <v>46312</v>
      </c>
      <c r="Y2" s="794">
        <v>46313</v>
      </c>
      <c r="Z2" s="794">
        <v>46314</v>
      </c>
      <c r="AA2" s="794">
        <v>46315</v>
      </c>
      <c r="AB2" s="794">
        <v>46316</v>
      </c>
      <c r="AC2" s="794">
        <v>46317</v>
      </c>
      <c r="AD2" s="794">
        <v>46318</v>
      </c>
      <c r="AE2" s="794">
        <v>46319</v>
      </c>
      <c r="AF2" s="794">
        <v>46320</v>
      </c>
      <c r="AG2" s="794">
        <v>46321</v>
      </c>
      <c r="AH2" s="794">
        <v>46322</v>
      </c>
      <c r="AI2" s="794">
        <v>46323</v>
      </c>
      <c r="AJ2" s="794">
        <v>46324</v>
      </c>
      <c r="AK2" s="794">
        <v>46325</v>
      </c>
      <c r="AL2" s="868">
        <v>46326</v>
      </c>
      <c r="AM2" s="795" t="s">
        <v>61</v>
      </c>
      <c r="AN2" s="796"/>
      <c r="AO2" s="797" t="s">
        <v>42</v>
      </c>
    </row>
    <row r="3" spans="1:44" ht="10.35" customHeight="1">
      <c r="A3" s="798">
        <v>1</v>
      </c>
      <c r="B3" s="799" t="s">
        <v>62</v>
      </c>
      <c r="C3" s="800">
        <v>343</v>
      </c>
      <c r="D3" s="800" t="s">
        <v>63</v>
      </c>
      <c r="E3" s="800" t="s">
        <v>64</v>
      </c>
      <c r="F3" s="801" t="s">
        <v>65</v>
      </c>
      <c r="G3" s="801" t="s">
        <v>66</v>
      </c>
      <c r="H3" s="864">
        <v>1</v>
      </c>
      <c r="I3" s="864">
        <v>1</v>
      </c>
      <c r="J3" s="802"/>
      <c r="K3" s="802"/>
      <c r="L3" s="864">
        <v>1</v>
      </c>
      <c r="M3" s="864">
        <v>1</v>
      </c>
      <c r="N3" s="864">
        <v>1</v>
      </c>
      <c r="O3" s="864">
        <v>1</v>
      </c>
      <c r="P3" s="864">
        <v>1</v>
      </c>
      <c r="Q3" s="802"/>
      <c r="R3" s="802"/>
      <c r="S3" s="847"/>
      <c r="T3" s="864">
        <v>1</v>
      </c>
      <c r="U3" s="864"/>
      <c r="V3" s="864"/>
      <c r="W3" s="864"/>
      <c r="X3" s="802"/>
      <c r="Y3" s="802"/>
      <c r="Z3" s="864"/>
      <c r="AA3" s="864"/>
      <c r="AB3" s="864"/>
      <c r="AC3" s="864"/>
      <c r="AD3" s="864"/>
      <c r="AE3" s="802"/>
      <c r="AF3" s="802"/>
      <c r="AG3" s="864"/>
      <c r="AH3" s="864"/>
      <c r="AI3" s="864"/>
      <c r="AJ3" s="864"/>
      <c r="AK3" s="864"/>
      <c r="AL3" s="802"/>
      <c r="AM3" s="826">
        <f t="shared" ref="AM3:AM35" si="0">SUM(H3:AK3)</f>
        <v>8</v>
      </c>
      <c r="AN3" s="803"/>
      <c r="AO3" s="844">
        <f>AM3/AP$1</f>
        <v>1</v>
      </c>
    </row>
    <row r="4" spans="1:44" ht="10.35" customHeight="1">
      <c r="A4" s="798">
        <v>2</v>
      </c>
      <c r="B4" s="799" t="s">
        <v>67</v>
      </c>
      <c r="C4" s="800">
        <v>350</v>
      </c>
      <c r="D4" s="800" t="s">
        <v>68</v>
      </c>
      <c r="E4" s="800" t="s">
        <v>69</v>
      </c>
      <c r="F4" s="801" t="s">
        <v>70</v>
      </c>
      <c r="G4" s="801" t="s">
        <v>66</v>
      </c>
      <c r="H4" s="864">
        <v>1</v>
      </c>
      <c r="I4" s="864">
        <v>1</v>
      </c>
      <c r="J4" s="802"/>
      <c r="K4" s="802"/>
      <c r="L4" s="864">
        <v>1</v>
      </c>
      <c r="M4" s="864">
        <v>1</v>
      </c>
      <c r="N4" s="864">
        <v>1</v>
      </c>
      <c r="O4" s="864">
        <v>1</v>
      </c>
      <c r="P4" s="864">
        <v>1</v>
      </c>
      <c r="Q4" s="802"/>
      <c r="R4" s="802"/>
      <c r="S4" s="847"/>
      <c r="T4" s="864">
        <v>1</v>
      </c>
      <c r="U4" s="864"/>
      <c r="V4" s="864"/>
      <c r="W4" s="864"/>
      <c r="X4" s="802"/>
      <c r="Y4" s="802"/>
      <c r="Z4" s="864"/>
      <c r="AA4" s="864"/>
      <c r="AB4" s="864"/>
      <c r="AC4" s="864"/>
      <c r="AD4" s="864"/>
      <c r="AE4" s="802"/>
      <c r="AF4" s="802"/>
      <c r="AG4" s="864"/>
      <c r="AH4" s="864"/>
      <c r="AI4" s="864"/>
      <c r="AJ4" s="864"/>
      <c r="AK4" s="864"/>
      <c r="AL4" s="802"/>
      <c r="AM4" s="826">
        <f t="shared" si="0"/>
        <v>8</v>
      </c>
      <c r="AN4" s="803"/>
      <c r="AO4" s="844">
        <f t="shared" ref="AO4:AO52" si="1">AM4/AP$1</f>
        <v>1</v>
      </c>
    </row>
    <row r="5" spans="1:44" ht="10.35" customHeight="1">
      <c r="A5" s="798">
        <v>3</v>
      </c>
      <c r="B5" s="804" t="s">
        <v>71</v>
      </c>
      <c r="C5" s="800"/>
      <c r="D5" s="800" t="s">
        <v>63</v>
      </c>
      <c r="E5" s="800" t="s">
        <v>64</v>
      </c>
      <c r="F5" s="801" t="s">
        <v>65</v>
      </c>
      <c r="G5" s="801" t="s">
        <v>66</v>
      </c>
      <c r="H5" s="864">
        <v>1</v>
      </c>
      <c r="I5" s="864">
        <v>1</v>
      </c>
      <c r="J5" s="802"/>
      <c r="K5" s="802"/>
      <c r="L5" s="864">
        <v>1</v>
      </c>
      <c r="M5" s="864">
        <v>1</v>
      </c>
      <c r="N5" s="864">
        <v>1</v>
      </c>
      <c r="O5" s="864">
        <v>1</v>
      </c>
      <c r="P5" s="864">
        <v>1</v>
      </c>
      <c r="Q5" s="802"/>
      <c r="R5" s="802"/>
      <c r="S5" s="847"/>
      <c r="T5" s="864">
        <v>1</v>
      </c>
      <c r="U5" s="864"/>
      <c r="V5" s="864"/>
      <c r="W5" s="864"/>
      <c r="X5" s="802"/>
      <c r="Y5" s="802"/>
      <c r="Z5" s="864"/>
      <c r="AA5" s="864"/>
      <c r="AB5" s="864"/>
      <c r="AC5" s="864"/>
      <c r="AD5" s="864"/>
      <c r="AE5" s="802"/>
      <c r="AF5" s="802"/>
      <c r="AG5" s="864"/>
      <c r="AH5" s="864"/>
      <c r="AI5" s="864"/>
      <c r="AJ5" s="864"/>
      <c r="AK5" s="864"/>
      <c r="AL5" s="802"/>
      <c r="AM5" s="826">
        <f t="shared" si="0"/>
        <v>8</v>
      </c>
      <c r="AN5" s="803"/>
      <c r="AO5" s="844">
        <f t="shared" si="1"/>
        <v>1</v>
      </c>
    </row>
    <row r="6" spans="1:44" ht="10.35" customHeight="1">
      <c r="A6" s="798">
        <v>4</v>
      </c>
      <c r="B6" s="799" t="s">
        <v>72</v>
      </c>
      <c r="C6" s="800">
        <v>372</v>
      </c>
      <c r="D6" s="800" t="s">
        <v>73</v>
      </c>
      <c r="E6" s="800" t="s">
        <v>69</v>
      </c>
      <c r="F6" s="801" t="s">
        <v>74</v>
      </c>
      <c r="G6" s="801" t="s">
        <v>75</v>
      </c>
      <c r="H6" s="864">
        <v>1</v>
      </c>
      <c r="I6" s="864">
        <v>1</v>
      </c>
      <c r="J6" s="802"/>
      <c r="K6" s="802"/>
      <c r="L6" s="864">
        <v>1</v>
      </c>
      <c r="M6" s="864">
        <v>1</v>
      </c>
      <c r="N6" s="864">
        <v>1</v>
      </c>
      <c r="O6" s="864">
        <v>1</v>
      </c>
      <c r="P6" s="864">
        <v>1</v>
      </c>
      <c r="Q6" s="802"/>
      <c r="R6" s="802"/>
      <c r="S6" s="847"/>
      <c r="T6" s="864">
        <v>1</v>
      </c>
      <c r="U6" s="864"/>
      <c r="V6" s="864"/>
      <c r="W6" s="864"/>
      <c r="X6" s="802"/>
      <c r="Y6" s="802"/>
      <c r="Z6" s="864"/>
      <c r="AA6" s="864"/>
      <c r="AB6" s="864"/>
      <c r="AC6" s="864"/>
      <c r="AD6" s="864"/>
      <c r="AE6" s="802"/>
      <c r="AF6" s="802"/>
      <c r="AG6" s="864"/>
      <c r="AH6" s="864"/>
      <c r="AI6" s="864"/>
      <c r="AJ6" s="864"/>
      <c r="AK6" s="864"/>
      <c r="AL6" s="802"/>
      <c r="AM6" s="826">
        <f t="shared" si="0"/>
        <v>8</v>
      </c>
      <c r="AN6" s="803"/>
      <c r="AO6" s="844">
        <f t="shared" si="1"/>
        <v>1</v>
      </c>
    </row>
    <row r="7" spans="1:44" ht="10.35" customHeight="1">
      <c r="A7" s="798">
        <v>5</v>
      </c>
      <c r="B7" s="804" t="s">
        <v>76</v>
      </c>
      <c r="C7" s="800">
        <v>0</v>
      </c>
      <c r="D7" s="800" t="s">
        <v>63</v>
      </c>
      <c r="E7" s="800" t="s">
        <v>64</v>
      </c>
      <c r="F7" s="801" t="s">
        <v>65</v>
      </c>
      <c r="G7" s="801" t="s">
        <v>66</v>
      </c>
      <c r="H7" s="864">
        <v>1</v>
      </c>
      <c r="I7" s="864">
        <v>1</v>
      </c>
      <c r="J7" s="802"/>
      <c r="K7" s="802"/>
      <c r="L7" s="864">
        <v>1</v>
      </c>
      <c r="M7" s="864">
        <v>1</v>
      </c>
      <c r="N7" s="864">
        <v>1</v>
      </c>
      <c r="O7" s="864">
        <v>1</v>
      </c>
      <c r="P7" s="864">
        <v>1</v>
      </c>
      <c r="Q7" s="802"/>
      <c r="R7" s="802"/>
      <c r="S7" s="847"/>
      <c r="T7" s="864">
        <v>1</v>
      </c>
      <c r="U7" s="864"/>
      <c r="V7" s="864"/>
      <c r="W7" s="864"/>
      <c r="X7" s="802"/>
      <c r="Y7" s="802"/>
      <c r="Z7" s="864"/>
      <c r="AA7" s="864"/>
      <c r="AB7" s="864"/>
      <c r="AC7" s="864"/>
      <c r="AD7" s="864"/>
      <c r="AE7" s="802"/>
      <c r="AF7" s="802"/>
      <c r="AG7" s="864"/>
      <c r="AH7" s="864"/>
      <c r="AI7" s="864"/>
      <c r="AJ7" s="864"/>
      <c r="AK7" s="864"/>
      <c r="AL7" s="802"/>
      <c r="AM7" s="826">
        <f t="shared" si="0"/>
        <v>8</v>
      </c>
      <c r="AN7" s="803"/>
      <c r="AO7" s="844">
        <f t="shared" si="1"/>
        <v>1</v>
      </c>
    </row>
    <row r="8" spans="1:44" ht="10.35" customHeight="1">
      <c r="A8" s="798">
        <v>6</v>
      </c>
      <c r="B8" s="799" t="s">
        <v>77</v>
      </c>
      <c r="C8" s="800">
        <v>274</v>
      </c>
      <c r="D8" s="800" t="s">
        <v>78</v>
      </c>
      <c r="E8" s="800" t="s">
        <v>79</v>
      </c>
      <c r="F8" s="801" t="s">
        <v>80</v>
      </c>
      <c r="G8" s="801" t="s">
        <v>81</v>
      </c>
      <c r="H8" s="864">
        <v>1</v>
      </c>
      <c r="I8" s="864">
        <v>1</v>
      </c>
      <c r="J8" s="802"/>
      <c r="K8" s="802"/>
      <c r="L8" s="864">
        <v>1</v>
      </c>
      <c r="M8" s="864">
        <v>1</v>
      </c>
      <c r="N8" s="864">
        <v>1</v>
      </c>
      <c r="O8" s="864">
        <v>1</v>
      </c>
      <c r="P8" s="864">
        <v>1</v>
      </c>
      <c r="Q8" s="802"/>
      <c r="R8" s="802"/>
      <c r="S8" s="847"/>
      <c r="T8" s="864">
        <v>1</v>
      </c>
      <c r="U8" s="864"/>
      <c r="V8" s="864"/>
      <c r="W8" s="864"/>
      <c r="X8" s="802"/>
      <c r="Y8" s="802"/>
      <c r="Z8" s="864"/>
      <c r="AA8" s="865"/>
      <c r="AB8" s="864"/>
      <c r="AC8" s="864"/>
      <c r="AD8" s="864"/>
      <c r="AE8" s="802"/>
      <c r="AF8" s="802"/>
      <c r="AG8" s="864"/>
      <c r="AH8" s="865"/>
      <c r="AI8" s="864"/>
      <c r="AJ8" s="864"/>
      <c r="AK8" s="864"/>
      <c r="AL8" s="802"/>
      <c r="AM8" s="826">
        <f t="shared" si="0"/>
        <v>8</v>
      </c>
      <c r="AN8" s="803"/>
      <c r="AO8" s="844">
        <f t="shared" si="1"/>
        <v>1</v>
      </c>
    </row>
    <row r="9" spans="1:44" ht="10.35" customHeight="1">
      <c r="A9" s="798">
        <v>7</v>
      </c>
      <c r="B9" s="799" t="s">
        <v>82</v>
      </c>
      <c r="C9" s="800">
        <v>19</v>
      </c>
      <c r="D9" s="800" t="s">
        <v>83</v>
      </c>
      <c r="E9" s="800" t="s">
        <v>84</v>
      </c>
      <c r="F9" s="801" t="s">
        <v>65</v>
      </c>
      <c r="G9" s="801" t="s">
        <v>75</v>
      </c>
      <c r="H9" s="864">
        <v>1</v>
      </c>
      <c r="I9" s="864">
        <v>1</v>
      </c>
      <c r="J9" s="802"/>
      <c r="K9" s="802"/>
      <c r="L9" s="864">
        <v>1</v>
      </c>
      <c r="M9" s="864">
        <v>1</v>
      </c>
      <c r="N9" s="864">
        <v>1</v>
      </c>
      <c r="O9" s="864">
        <v>1</v>
      </c>
      <c r="P9" s="864">
        <v>1</v>
      </c>
      <c r="Q9" s="802"/>
      <c r="R9" s="802"/>
      <c r="S9" s="847"/>
      <c r="T9" s="864">
        <v>1</v>
      </c>
      <c r="U9" s="864"/>
      <c r="V9" s="864"/>
      <c r="W9" s="864"/>
      <c r="X9" s="802"/>
      <c r="Y9" s="802"/>
      <c r="Z9" s="864"/>
      <c r="AA9" s="864"/>
      <c r="AB9" s="864"/>
      <c r="AC9" s="864"/>
      <c r="AD9" s="864"/>
      <c r="AE9" s="802"/>
      <c r="AF9" s="802"/>
      <c r="AG9" s="864"/>
      <c r="AH9" s="864"/>
      <c r="AI9" s="864"/>
      <c r="AJ9" s="864"/>
      <c r="AK9" s="864"/>
      <c r="AL9" s="802"/>
      <c r="AM9" s="826">
        <f t="shared" si="0"/>
        <v>8</v>
      </c>
      <c r="AN9" s="803"/>
      <c r="AO9" s="844">
        <f t="shared" si="1"/>
        <v>1</v>
      </c>
    </row>
    <row r="10" spans="1:44" ht="10.35" customHeight="1">
      <c r="A10" s="798">
        <v>8</v>
      </c>
      <c r="B10" s="799" t="s">
        <v>85</v>
      </c>
      <c r="C10" s="800">
        <v>212</v>
      </c>
      <c r="D10" s="800" t="s">
        <v>86</v>
      </c>
      <c r="E10" s="800" t="s">
        <v>64</v>
      </c>
      <c r="F10" s="801" t="s">
        <v>87</v>
      </c>
      <c r="G10" s="801" t="s">
        <v>81</v>
      </c>
      <c r="H10" s="864">
        <v>1</v>
      </c>
      <c r="I10" s="864">
        <v>1</v>
      </c>
      <c r="J10" s="802"/>
      <c r="K10" s="802"/>
      <c r="L10" s="864">
        <v>1</v>
      </c>
      <c r="M10" s="864">
        <v>1</v>
      </c>
      <c r="N10" s="864">
        <v>1</v>
      </c>
      <c r="O10" s="864">
        <v>1</v>
      </c>
      <c r="P10" s="864">
        <v>1</v>
      </c>
      <c r="Q10" s="802"/>
      <c r="R10" s="802"/>
      <c r="S10" s="847"/>
      <c r="T10" s="864">
        <v>1</v>
      </c>
      <c r="U10" s="864"/>
      <c r="V10" s="864"/>
      <c r="W10" s="864"/>
      <c r="X10" s="802"/>
      <c r="Y10" s="802"/>
      <c r="Z10" s="864"/>
      <c r="AA10" s="864"/>
      <c r="AB10" s="864"/>
      <c r="AC10" s="864"/>
      <c r="AD10" s="864"/>
      <c r="AE10" s="802"/>
      <c r="AF10" s="802"/>
      <c r="AG10" s="864"/>
      <c r="AH10" s="864"/>
      <c r="AI10" s="864"/>
      <c r="AJ10" s="864"/>
      <c r="AK10" s="864"/>
      <c r="AL10" s="802"/>
      <c r="AM10" s="826">
        <f t="shared" si="0"/>
        <v>8</v>
      </c>
      <c r="AN10" s="803"/>
      <c r="AO10" s="844">
        <f t="shared" si="1"/>
        <v>1</v>
      </c>
    </row>
    <row r="11" spans="1:44" ht="10.35" customHeight="1">
      <c r="A11" s="798">
        <v>9</v>
      </c>
      <c r="B11" s="799" t="s">
        <v>88</v>
      </c>
      <c r="C11" s="800">
        <v>232</v>
      </c>
      <c r="D11" s="800" t="s">
        <v>63</v>
      </c>
      <c r="E11" s="800" t="s">
        <v>64</v>
      </c>
      <c r="F11" s="801" t="s">
        <v>65</v>
      </c>
      <c r="G11" s="801" t="s">
        <v>66</v>
      </c>
      <c r="H11" s="864">
        <v>1</v>
      </c>
      <c r="I11" s="864">
        <v>1</v>
      </c>
      <c r="J11" s="802"/>
      <c r="K11" s="802"/>
      <c r="L11" s="864">
        <v>1</v>
      </c>
      <c r="M11" s="864">
        <v>1</v>
      </c>
      <c r="N11" s="864">
        <v>1</v>
      </c>
      <c r="O11" s="864">
        <v>1</v>
      </c>
      <c r="P11" s="864">
        <v>1</v>
      </c>
      <c r="Q11" s="802"/>
      <c r="R11" s="802"/>
      <c r="S11" s="847"/>
      <c r="T11" s="864">
        <v>1</v>
      </c>
      <c r="U11" s="864"/>
      <c r="V11" s="864"/>
      <c r="W11" s="864"/>
      <c r="X11" s="802"/>
      <c r="Y11" s="802"/>
      <c r="Z11" s="864"/>
      <c r="AA11" s="864"/>
      <c r="AB11" s="864"/>
      <c r="AC11" s="864"/>
      <c r="AD11" s="864"/>
      <c r="AE11" s="802"/>
      <c r="AF11" s="802"/>
      <c r="AG11" s="864"/>
      <c r="AH11" s="864"/>
      <c r="AI11" s="864"/>
      <c r="AJ11" s="864"/>
      <c r="AK11" s="864"/>
      <c r="AL11" s="802"/>
      <c r="AM11" s="826">
        <f t="shared" si="0"/>
        <v>8</v>
      </c>
      <c r="AN11" s="803"/>
      <c r="AO11" s="844">
        <f t="shared" si="1"/>
        <v>1</v>
      </c>
    </row>
    <row r="12" spans="1:44" ht="10.35" customHeight="1">
      <c r="A12" s="798">
        <v>10</v>
      </c>
      <c r="B12" s="799" t="s">
        <v>89</v>
      </c>
      <c r="C12" s="800">
        <v>15</v>
      </c>
      <c r="D12" s="800" t="s">
        <v>68</v>
      </c>
      <c r="E12" s="800" t="s">
        <v>69</v>
      </c>
      <c r="F12" s="801" t="s">
        <v>70</v>
      </c>
      <c r="G12" s="801" t="s">
        <v>90</v>
      </c>
      <c r="H12" s="864">
        <v>1</v>
      </c>
      <c r="I12" s="864">
        <v>1</v>
      </c>
      <c r="J12" s="802"/>
      <c r="K12" s="802"/>
      <c r="L12" s="864">
        <v>1</v>
      </c>
      <c r="M12" s="864">
        <v>1</v>
      </c>
      <c r="N12" s="864">
        <v>1</v>
      </c>
      <c r="O12" s="864">
        <v>1</v>
      </c>
      <c r="P12" s="864">
        <v>1</v>
      </c>
      <c r="Q12" s="802"/>
      <c r="R12" s="802"/>
      <c r="S12" s="847"/>
      <c r="T12" s="864">
        <v>1</v>
      </c>
      <c r="U12" s="864"/>
      <c r="V12" s="864"/>
      <c r="W12" s="864"/>
      <c r="X12" s="802"/>
      <c r="Y12" s="802"/>
      <c r="Z12" s="864"/>
      <c r="AA12" s="864"/>
      <c r="AB12" s="864"/>
      <c r="AC12" s="864"/>
      <c r="AD12" s="864"/>
      <c r="AE12" s="802"/>
      <c r="AF12" s="802"/>
      <c r="AG12" s="864"/>
      <c r="AH12" s="864"/>
      <c r="AI12" s="864"/>
      <c r="AJ12" s="864"/>
      <c r="AK12" s="864"/>
      <c r="AL12" s="802"/>
      <c r="AM12" s="826">
        <f t="shared" si="0"/>
        <v>8</v>
      </c>
      <c r="AN12" s="803"/>
      <c r="AO12" s="844">
        <f t="shared" si="1"/>
        <v>1</v>
      </c>
    </row>
    <row r="13" spans="1:44" ht="10.35" customHeight="1">
      <c r="A13" s="798">
        <v>11</v>
      </c>
      <c r="B13" s="799" t="s">
        <v>91</v>
      </c>
      <c r="C13" s="800">
        <v>354</v>
      </c>
      <c r="D13" s="800" t="s">
        <v>63</v>
      </c>
      <c r="E13" s="800" t="s">
        <v>64</v>
      </c>
      <c r="F13" s="801" t="s">
        <v>65</v>
      </c>
      <c r="G13" s="801" t="s">
        <v>66</v>
      </c>
      <c r="H13" s="864">
        <v>1</v>
      </c>
      <c r="I13" s="864">
        <v>1</v>
      </c>
      <c r="J13" s="802"/>
      <c r="K13" s="802"/>
      <c r="L13" s="864">
        <v>1</v>
      </c>
      <c r="M13" s="864">
        <v>1</v>
      </c>
      <c r="N13" s="864">
        <v>1</v>
      </c>
      <c r="O13" s="864">
        <v>1</v>
      </c>
      <c r="P13" s="864">
        <v>1</v>
      </c>
      <c r="Q13" s="802"/>
      <c r="R13" s="802"/>
      <c r="S13" s="847"/>
      <c r="T13" s="864">
        <v>1</v>
      </c>
      <c r="U13" s="864"/>
      <c r="V13" s="864"/>
      <c r="W13" s="864"/>
      <c r="X13" s="802"/>
      <c r="Y13" s="802"/>
      <c r="Z13" s="864"/>
      <c r="AA13" s="864"/>
      <c r="AB13" s="864"/>
      <c r="AC13" s="864"/>
      <c r="AD13" s="864"/>
      <c r="AE13" s="802"/>
      <c r="AF13" s="802"/>
      <c r="AG13" s="864"/>
      <c r="AH13" s="864"/>
      <c r="AI13" s="864"/>
      <c r="AJ13" s="864"/>
      <c r="AK13" s="864"/>
      <c r="AL13" s="802"/>
      <c r="AM13" s="826">
        <f t="shared" si="0"/>
        <v>8</v>
      </c>
      <c r="AN13" s="803"/>
      <c r="AO13" s="844">
        <f t="shared" si="1"/>
        <v>1</v>
      </c>
    </row>
    <row r="14" spans="1:44" ht="10.35" customHeight="1">
      <c r="A14" s="798">
        <v>12</v>
      </c>
      <c r="B14" s="799" t="s">
        <v>92</v>
      </c>
      <c r="C14" s="800">
        <v>311</v>
      </c>
      <c r="D14" s="800" t="s">
        <v>93</v>
      </c>
      <c r="E14" s="800" t="s">
        <v>79</v>
      </c>
      <c r="F14" s="801" t="s">
        <v>94</v>
      </c>
      <c r="G14" s="801" t="s">
        <v>81</v>
      </c>
      <c r="H14" s="864">
        <v>1</v>
      </c>
      <c r="I14" s="864">
        <v>1</v>
      </c>
      <c r="J14" s="802"/>
      <c r="K14" s="802"/>
      <c r="L14" s="864">
        <v>1</v>
      </c>
      <c r="M14" s="864">
        <v>1</v>
      </c>
      <c r="N14" s="864">
        <v>1</v>
      </c>
      <c r="O14" s="864">
        <v>1</v>
      </c>
      <c r="P14" s="864">
        <v>1</v>
      </c>
      <c r="Q14" s="802"/>
      <c r="R14" s="802"/>
      <c r="S14" s="847"/>
      <c r="T14" s="864">
        <v>1</v>
      </c>
      <c r="U14" s="864"/>
      <c r="V14" s="864"/>
      <c r="W14" s="864"/>
      <c r="X14" s="802"/>
      <c r="Y14" s="802"/>
      <c r="Z14" s="864"/>
      <c r="AA14" s="864"/>
      <c r="AB14" s="864"/>
      <c r="AC14" s="864"/>
      <c r="AD14" s="864"/>
      <c r="AE14" s="802"/>
      <c r="AF14" s="802"/>
      <c r="AG14" s="864"/>
      <c r="AH14" s="864"/>
      <c r="AI14" s="864"/>
      <c r="AJ14" s="864"/>
      <c r="AK14" s="864"/>
      <c r="AL14" s="802"/>
      <c r="AM14" s="826">
        <f t="shared" si="0"/>
        <v>8</v>
      </c>
      <c r="AN14" s="803"/>
      <c r="AO14" s="844">
        <f t="shared" si="1"/>
        <v>1</v>
      </c>
      <c r="AQ14" s="890" t="s">
        <v>95</v>
      </c>
      <c r="AR14" s="890"/>
    </row>
    <row r="15" spans="1:44" ht="10.35" customHeight="1">
      <c r="A15" s="798">
        <v>13</v>
      </c>
      <c r="B15" s="799" t="s">
        <v>96</v>
      </c>
      <c r="C15" s="800">
        <v>224</v>
      </c>
      <c r="D15" s="800" t="s">
        <v>97</v>
      </c>
      <c r="E15" s="800" t="s">
        <v>84</v>
      </c>
      <c r="F15" s="801" t="s">
        <v>98</v>
      </c>
      <c r="G15" s="801" t="s">
        <v>75</v>
      </c>
      <c r="H15" s="864">
        <v>1</v>
      </c>
      <c r="I15" s="864">
        <v>1</v>
      </c>
      <c r="J15" s="802"/>
      <c r="K15" s="802"/>
      <c r="L15" s="864">
        <v>1</v>
      </c>
      <c r="M15" s="864">
        <v>1</v>
      </c>
      <c r="N15" s="864">
        <v>1</v>
      </c>
      <c r="O15" s="864">
        <v>1</v>
      </c>
      <c r="P15" s="864">
        <v>1</v>
      </c>
      <c r="Q15" s="802"/>
      <c r="R15" s="802"/>
      <c r="S15" s="847"/>
      <c r="T15" s="864">
        <v>1</v>
      </c>
      <c r="U15" s="864"/>
      <c r="V15" s="864"/>
      <c r="W15" s="864"/>
      <c r="X15" s="802"/>
      <c r="Y15" s="802"/>
      <c r="Z15" s="864"/>
      <c r="AA15" s="865"/>
      <c r="AB15" s="864"/>
      <c r="AC15" s="864"/>
      <c r="AD15" s="864"/>
      <c r="AE15" s="802"/>
      <c r="AF15" s="802"/>
      <c r="AG15" s="864"/>
      <c r="AH15" s="865"/>
      <c r="AI15" s="864"/>
      <c r="AJ15" s="864"/>
      <c r="AK15" s="864"/>
      <c r="AL15" s="802"/>
      <c r="AM15" s="826">
        <f t="shared" si="0"/>
        <v>8</v>
      </c>
      <c r="AN15" s="803"/>
      <c r="AO15" s="844">
        <f t="shared" si="1"/>
        <v>1</v>
      </c>
      <c r="AQ15" s="890"/>
      <c r="AR15" s="890"/>
    </row>
    <row r="16" spans="1:44" ht="10.35" customHeight="1">
      <c r="A16" s="798">
        <v>14</v>
      </c>
      <c r="B16" s="799" t="s">
        <v>99</v>
      </c>
      <c r="C16" s="800">
        <v>329</v>
      </c>
      <c r="D16" s="800" t="s">
        <v>63</v>
      </c>
      <c r="E16" s="800" t="s">
        <v>64</v>
      </c>
      <c r="F16" s="801" t="s">
        <v>65</v>
      </c>
      <c r="G16" s="801" t="s">
        <v>66</v>
      </c>
      <c r="H16" s="864">
        <v>1</v>
      </c>
      <c r="I16" s="864">
        <v>1</v>
      </c>
      <c r="J16" s="802"/>
      <c r="K16" s="802"/>
      <c r="L16" s="864">
        <v>1</v>
      </c>
      <c r="M16" s="864">
        <v>1</v>
      </c>
      <c r="N16" s="864">
        <v>1</v>
      </c>
      <c r="O16" s="864">
        <v>1</v>
      </c>
      <c r="P16" s="864">
        <v>1</v>
      </c>
      <c r="Q16" s="802"/>
      <c r="R16" s="802"/>
      <c r="S16" s="847"/>
      <c r="T16" s="864">
        <v>1</v>
      </c>
      <c r="U16" s="864"/>
      <c r="V16" s="864"/>
      <c r="W16" s="864"/>
      <c r="X16" s="802"/>
      <c r="Y16" s="802"/>
      <c r="Z16" s="864"/>
      <c r="AA16" s="864"/>
      <c r="AB16" s="864"/>
      <c r="AC16" s="864"/>
      <c r="AD16" s="864"/>
      <c r="AE16" s="802"/>
      <c r="AF16" s="802"/>
      <c r="AG16" s="864"/>
      <c r="AH16" s="864"/>
      <c r="AI16" s="864"/>
      <c r="AJ16" s="864"/>
      <c r="AK16" s="864"/>
      <c r="AL16" s="802"/>
      <c r="AM16" s="826">
        <f t="shared" si="0"/>
        <v>8</v>
      </c>
      <c r="AN16" s="803"/>
      <c r="AO16" s="844">
        <f t="shared" si="1"/>
        <v>1</v>
      </c>
      <c r="AQ16" s="890"/>
      <c r="AR16" s="890"/>
    </row>
    <row r="17" spans="1:44" ht="10.35" customHeight="1">
      <c r="A17" s="798">
        <v>15</v>
      </c>
      <c r="B17" s="799" t="s">
        <v>100</v>
      </c>
      <c r="C17" s="800">
        <v>331</v>
      </c>
      <c r="D17" s="800" t="s">
        <v>63</v>
      </c>
      <c r="E17" s="800" t="s">
        <v>64</v>
      </c>
      <c r="F17" s="801" t="s">
        <v>65</v>
      </c>
      <c r="G17" s="801" t="s">
        <v>66</v>
      </c>
      <c r="H17" s="864">
        <v>1</v>
      </c>
      <c r="I17" s="864">
        <v>1</v>
      </c>
      <c r="J17" s="802"/>
      <c r="K17" s="802"/>
      <c r="L17" s="864">
        <v>1</v>
      </c>
      <c r="M17" s="864">
        <v>1</v>
      </c>
      <c r="N17" s="864">
        <v>1</v>
      </c>
      <c r="O17" s="864">
        <v>1</v>
      </c>
      <c r="P17" s="864">
        <v>1</v>
      </c>
      <c r="Q17" s="802"/>
      <c r="R17" s="802"/>
      <c r="S17" s="847"/>
      <c r="T17" s="864">
        <v>1</v>
      </c>
      <c r="U17" s="864"/>
      <c r="V17" s="864"/>
      <c r="W17" s="864"/>
      <c r="X17" s="802"/>
      <c r="Y17" s="802"/>
      <c r="Z17" s="864"/>
      <c r="AA17" s="864"/>
      <c r="AB17" s="864"/>
      <c r="AC17" s="864"/>
      <c r="AD17" s="864"/>
      <c r="AE17" s="802"/>
      <c r="AF17" s="802"/>
      <c r="AG17" s="864"/>
      <c r="AH17" s="864"/>
      <c r="AI17" s="864"/>
      <c r="AJ17" s="864"/>
      <c r="AK17" s="864"/>
      <c r="AL17" s="802"/>
      <c r="AM17" s="826">
        <f t="shared" si="0"/>
        <v>8</v>
      </c>
      <c r="AN17" s="803"/>
      <c r="AO17" s="844">
        <f t="shared" si="1"/>
        <v>1</v>
      </c>
      <c r="AQ17" s="890"/>
      <c r="AR17" s="890"/>
    </row>
    <row r="18" spans="1:44" ht="10.35" customHeight="1">
      <c r="A18" s="798">
        <v>16</v>
      </c>
      <c r="B18" s="799" t="s">
        <v>101</v>
      </c>
      <c r="C18" s="800">
        <v>296</v>
      </c>
      <c r="D18" s="800" t="s">
        <v>93</v>
      </c>
      <c r="E18" s="800" t="s">
        <v>79</v>
      </c>
      <c r="F18" s="801" t="s">
        <v>65</v>
      </c>
      <c r="G18" s="801" t="s">
        <v>81</v>
      </c>
      <c r="H18" s="864">
        <v>1</v>
      </c>
      <c r="I18" s="864">
        <v>1</v>
      </c>
      <c r="J18" s="802"/>
      <c r="K18" s="802"/>
      <c r="L18" s="864">
        <v>1</v>
      </c>
      <c r="M18" s="864">
        <v>1</v>
      </c>
      <c r="N18" s="864">
        <v>1</v>
      </c>
      <c r="O18" s="864">
        <v>1</v>
      </c>
      <c r="P18" s="864">
        <v>1</v>
      </c>
      <c r="Q18" s="802"/>
      <c r="R18" s="802"/>
      <c r="S18" s="847"/>
      <c r="T18" s="864">
        <v>1</v>
      </c>
      <c r="U18" s="864"/>
      <c r="V18" s="864"/>
      <c r="W18" s="864"/>
      <c r="X18" s="802"/>
      <c r="Y18" s="802"/>
      <c r="Z18" s="864"/>
      <c r="AA18" s="864"/>
      <c r="AB18" s="864"/>
      <c r="AC18" s="864"/>
      <c r="AD18" s="864"/>
      <c r="AE18" s="802"/>
      <c r="AF18" s="802"/>
      <c r="AG18" s="864"/>
      <c r="AH18" s="864"/>
      <c r="AI18" s="864"/>
      <c r="AJ18" s="864"/>
      <c r="AK18" s="864"/>
      <c r="AL18" s="802"/>
      <c r="AM18" s="826">
        <f t="shared" si="0"/>
        <v>8</v>
      </c>
      <c r="AN18" s="803"/>
      <c r="AO18" s="844">
        <f t="shared" si="1"/>
        <v>1</v>
      </c>
      <c r="AQ18" s="889">
        <f>AM53</f>
        <v>49</v>
      </c>
      <c r="AR18" s="889"/>
    </row>
    <row r="19" spans="1:44" ht="10.35" customHeight="1">
      <c r="A19" s="798">
        <v>17</v>
      </c>
      <c r="B19" s="799" t="s">
        <v>102</v>
      </c>
      <c r="C19" s="800">
        <v>320</v>
      </c>
      <c r="D19" s="800" t="s">
        <v>103</v>
      </c>
      <c r="E19" s="800" t="s">
        <v>104</v>
      </c>
      <c r="F19" s="801" t="s">
        <v>105</v>
      </c>
      <c r="G19" s="801" t="s">
        <v>75</v>
      </c>
      <c r="H19" s="864">
        <v>1</v>
      </c>
      <c r="I19" s="864">
        <v>1</v>
      </c>
      <c r="J19" s="802"/>
      <c r="K19" s="802"/>
      <c r="L19" s="864">
        <v>1</v>
      </c>
      <c r="M19" s="864">
        <v>1</v>
      </c>
      <c r="N19" s="864">
        <v>1</v>
      </c>
      <c r="O19" s="864">
        <v>1</v>
      </c>
      <c r="P19" s="864">
        <v>1</v>
      </c>
      <c r="Q19" s="802"/>
      <c r="R19" s="802"/>
      <c r="S19" s="847"/>
      <c r="T19" s="864">
        <v>1</v>
      </c>
      <c r="U19" s="864"/>
      <c r="V19" s="864"/>
      <c r="W19" s="864"/>
      <c r="X19" s="802"/>
      <c r="Y19" s="802"/>
      <c r="Z19" s="864"/>
      <c r="AA19" s="864"/>
      <c r="AB19" s="864"/>
      <c r="AC19" s="864"/>
      <c r="AD19" s="864"/>
      <c r="AE19" s="802"/>
      <c r="AF19" s="802"/>
      <c r="AG19" s="864"/>
      <c r="AH19" s="864"/>
      <c r="AI19" s="864"/>
      <c r="AJ19" s="864"/>
      <c r="AK19" s="864"/>
      <c r="AL19" s="802"/>
      <c r="AM19" s="826">
        <f t="shared" si="0"/>
        <v>8</v>
      </c>
      <c r="AN19" s="803"/>
      <c r="AO19" s="844">
        <f t="shared" si="1"/>
        <v>1</v>
      </c>
      <c r="AQ19" s="889"/>
      <c r="AR19" s="889"/>
    </row>
    <row r="20" spans="1:44" ht="10.35" customHeight="1">
      <c r="A20" s="798">
        <v>18</v>
      </c>
      <c r="B20" s="799" t="s">
        <v>106</v>
      </c>
      <c r="C20" s="800">
        <v>344</v>
      </c>
      <c r="D20" s="800" t="s">
        <v>103</v>
      </c>
      <c r="E20" s="800" t="s">
        <v>104</v>
      </c>
      <c r="F20" s="801" t="s">
        <v>105</v>
      </c>
      <c r="G20" s="801" t="s">
        <v>75</v>
      </c>
      <c r="H20" s="847" t="s">
        <v>107</v>
      </c>
      <c r="I20" s="847" t="s">
        <v>107</v>
      </c>
      <c r="J20" s="802"/>
      <c r="K20" s="802"/>
      <c r="L20" s="847" t="s">
        <v>107</v>
      </c>
      <c r="M20" s="847" t="s">
        <v>107</v>
      </c>
      <c r="N20" s="847" t="s">
        <v>107</v>
      </c>
      <c r="O20" s="847" t="s">
        <v>107</v>
      </c>
      <c r="P20" s="847" t="s">
        <v>107</v>
      </c>
      <c r="Q20" s="802"/>
      <c r="R20" s="802"/>
      <c r="S20" s="847"/>
      <c r="T20" s="847" t="s">
        <v>107</v>
      </c>
      <c r="U20" s="864"/>
      <c r="V20" s="864"/>
      <c r="W20" s="864"/>
      <c r="X20" s="802"/>
      <c r="Y20" s="802"/>
      <c r="Z20" s="864"/>
      <c r="AA20" s="864"/>
      <c r="AB20" s="864"/>
      <c r="AC20" s="864"/>
      <c r="AD20" s="864"/>
      <c r="AE20" s="802"/>
      <c r="AF20" s="802"/>
      <c r="AG20" s="864"/>
      <c r="AH20" s="864"/>
      <c r="AI20" s="864"/>
      <c r="AJ20" s="864"/>
      <c r="AK20" s="864"/>
      <c r="AL20" s="802"/>
      <c r="AM20" s="826">
        <f t="shared" si="0"/>
        <v>0</v>
      </c>
      <c r="AN20" s="803"/>
      <c r="AO20" s="844">
        <f t="shared" si="1"/>
        <v>0</v>
      </c>
      <c r="AQ20" s="890" t="s">
        <v>108</v>
      </c>
      <c r="AR20" s="890"/>
    </row>
    <row r="21" spans="1:44" ht="10.35" customHeight="1">
      <c r="A21" s="798">
        <v>19</v>
      </c>
      <c r="B21" s="799" t="s">
        <v>109</v>
      </c>
      <c r="C21" s="800">
        <v>226</v>
      </c>
      <c r="D21" s="800" t="s">
        <v>93</v>
      </c>
      <c r="E21" s="800" t="s">
        <v>79</v>
      </c>
      <c r="F21" s="801" t="s">
        <v>94</v>
      </c>
      <c r="G21" s="801" t="s">
        <v>81</v>
      </c>
      <c r="H21" s="864">
        <v>1</v>
      </c>
      <c r="I21" s="864">
        <v>1</v>
      </c>
      <c r="J21" s="802"/>
      <c r="K21" s="802"/>
      <c r="L21" s="864">
        <v>1</v>
      </c>
      <c r="M21" s="864">
        <v>1</v>
      </c>
      <c r="N21" s="864">
        <v>1</v>
      </c>
      <c r="O21" s="864">
        <v>1</v>
      </c>
      <c r="P21" s="864">
        <v>1</v>
      </c>
      <c r="Q21" s="802"/>
      <c r="R21" s="802"/>
      <c r="S21" s="847"/>
      <c r="T21" s="864">
        <v>1</v>
      </c>
      <c r="U21" s="864"/>
      <c r="V21" s="864"/>
      <c r="W21" s="864"/>
      <c r="X21" s="802"/>
      <c r="Y21" s="802"/>
      <c r="Z21" s="864"/>
      <c r="AA21" s="864"/>
      <c r="AB21" s="864"/>
      <c r="AC21" s="864"/>
      <c r="AD21" s="864"/>
      <c r="AE21" s="802"/>
      <c r="AF21" s="802"/>
      <c r="AG21" s="864"/>
      <c r="AH21" s="864"/>
      <c r="AI21" s="864"/>
      <c r="AJ21" s="864"/>
      <c r="AK21" s="864"/>
      <c r="AL21" s="802"/>
      <c r="AM21" s="826">
        <f t="shared" si="0"/>
        <v>8</v>
      </c>
      <c r="AN21" s="803"/>
      <c r="AO21" s="844">
        <f t="shared" si="1"/>
        <v>1</v>
      </c>
      <c r="AQ21" s="890"/>
      <c r="AR21" s="890"/>
    </row>
    <row r="22" spans="1:44" ht="10.35" customHeight="1">
      <c r="A22" s="798">
        <v>20</v>
      </c>
      <c r="B22" s="799" t="s">
        <v>110</v>
      </c>
      <c r="C22" s="800">
        <v>208</v>
      </c>
      <c r="D22" s="800" t="s">
        <v>63</v>
      </c>
      <c r="E22" s="800" t="s">
        <v>64</v>
      </c>
      <c r="F22" s="801" t="s">
        <v>65</v>
      </c>
      <c r="G22" s="801" t="s">
        <v>66</v>
      </c>
      <c r="H22" s="864">
        <v>1</v>
      </c>
      <c r="I22" s="864">
        <v>1</v>
      </c>
      <c r="J22" s="802"/>
      <c r="K22" s="802"/>
      <c r="L22" s="864">
        <v>1</v>
      </c>
      <c r="M22" s="864">
        <v>1</v>
      </c>
      <c r="N22" s="864">
        <v>1</v>
      </c>
      <c r="O22" s="864">
        <v>1</v>
      </c>
      <c r="P22" s="864">
        <v>1</v>
      </c>
      <c r="Q22" s="802"/>
      <c r="R22" s="802"/>
      <c r="S22" s="847"/>
      <c r="T22" s="864">
        <v>1</v>
      </c>
      <c r="U22" s="864"/>
      <c r="V22" s="864"/>
      <c r="W22" s="864"/>
      <c r="X22" s="802"/>
      <c r="Y22" s="802"/>
      <c r="Z22" s="864"/>
      <c r="AA22" s="864"/>
      <c r="AB22" s="864"/>
      <c r="AC22" s="864"/>
      <c r="AD22" s="864"/>
      <c r="AE22" s="802"/>
      <c r="AF22" s="802"/>
      <c r="AG22" s="864"/>
      <c r="AH22" s="864"/>
      <c r="AI22" s="864"/>
      <c r="AJ22" s="864"/>
      <c r="AK22" s="864"/>
      <c r="AL22" s="802"/>
      <c r="AM22" s="826">
        <f t="shared" si="0"/>
        <v>8</v>
      </c>
      <c r="AN22" s="803"/>
      <c r="AO22" s="844">
        <f t="shared" si="1"/>
        <v>1</v>
      </c>
      <c r="AQ22" s="890"/>
      <c r="AR22" s="890"/>
    </row>
    <row r="23" spans="1:44" ht="10.35" customHeight="1">
      <c r="A23" s="798">
        <v>21</v>
      </c>
      <c r="B23" s="799" t="s">
        <v>111</v>
      </c>
      <c r="C23" s="800">
        <v>336</v>
      </c>
      <c r="D23" s="800" t="s">
        <v>103</v>
      </c>
      <c r="E23" s="800" t="s">
        <v>104</v>
      </c>
      <c r="F23" s="801" t="s">
        <v>105</v>
      </c>
      <c r="G23" s="801" t="s">
        <v>112</v>
      </c>
      <c r="H23" s="864">
        <v>1</v>
      </c>
      <c r="I23" s="864">
        <v>1</v>
      </c>
      <c r="J23" s="802"/>
      <c r="K23" s="802"/>
      <c r="L23" s="864">
        <v>1</v>
      </c>
      <c r="M23" s="864">
        <v>1</v>
      </c>
      <c r="N23" s="864">
        <v>1</v>
      </c>
      <c r="O23" s="864">
        <v>1</v>
      </c>
      <c r="P23" s="864">
        <v>1</v>
      </c>
      <c r="Q23" s="802"/>
      <c r="R23" s="802"/>
      <c r="S23" s="847"/>
      <c r="T23" s="864">
        <v>1</v>
      </c>
      <c r="U23" s="864"/>
      <c r="V23" s="864"/>
      <c r="W23" s="864"/>
      <c r="X23" s="802"/>
      <c r="Y23" s="802"/>
      <c r="Z23" s="864"/>
      <c r="AA23" s="864"/>
      <c r="AB23" s="864"/>
      <c r="AC23" s="864"/>
      <c r="AD23" s="864"/>
      <c r="AE23" s="802"/>
      <c r="AF23" s="802"/>
      <c r="AG23" s="864"/>
      <c r="AH23" s="864"/>
      <c r="AI23" s="864"/>
      <c r="AJ23" s="864"/>
      <c r="AK23" s="864"/>
      <c r="AL23" s="802"/>
      <c r="AM23" s="826">
        <f t="shared" si="0"/>
        <v>8</v>
      </c>
      <c r="AN23" s="803"/>
      <c r="AO23" s="844">
        <f t="shared" si="1"/>
        <v>1</v>
      </c>
      <c r="AQ23" s="889">
        <v>50</v>
      </c>
      <c r="AR23" s="889"/>
    </row>
    <row r="24" spans="1:44" ht="10.35" customHeight="1">
      <c r="A24" s="798">
        <v>22</v>
      </c>
      <c r="B24" s="799" t="s">
        <v>113</v>
      </c>
      <c r="C24" s="800">
        <v>875</v>
      </c>
      <c r="D24" s="800" t="s">
        <v>63</v>
      </c>
      <c r="E24" s="800" t="s">
        <v>64</v>
      </c>
      <c r="F24" s="801" t="s">
        <v>65</v>
      </c>
      <c r="G24" s="801" t="s">
        <v>66</v>
      </c>
      <c r="H24" s="864">
        <v>1</v>
      </c>
      <c r="I24" s="864">
        <v>1</v>
      </c>
      <c r="J24" s="802"/>
      <c r="K24" s="802"/>
      <c r="L24" s="864">
        <v>1</v>
      </c>
      <c r="M24" s="864">
        <v>1</v>
      </c>
      <c r="N24" s="864">
        <v>1</v>
      </c>
      <c r="O24" s="864">
        <v>1</v>
      </c>
      <c r="P24" s="864">
        <v>1</v>
      </c>
      <c r="Q24" s="802"/>
      <c r="R24" s="802"/>
      <c r="S24" s="847"/>
      <c r="T24" s="864">
        <v>1</v>
      </c>
      <c r="U24" s="864"/>
      <c r="V24" s="864"/>
      <c r="W24" s="864"/>
      <c r="X24" s="802"/>
      <c r="Y24" s="802"/>
      <c r="Z24" s="864"/>
      <c r="AA24" s="864"/>
      <c r="AB24" s="864"/>
      <c r="AC24" s="864"/>
      <c r="AD24" s="864"/>
      <c r="AE24" s="802"/>
      <c r="AF24" s="802"/>
      <c r="AG24" s="864"/>
      <c r="AH24" s="864"/>
      <c r="AI24" s="864"/>
      <c r="AJ24" s="864"/>
      <c r="AK24" s="864"/>
      <c r="AL24" s="802"/>
      <c r="AM24" s="826">
        <f t="shared" si="0"/>
        <v>8</v>
      </c>
      <c r="AN24" s="803"/>
      <c r="AO24" s="844">
        <f t="shared" si="1"/>
        <v>1</v>
      </c>
      <c r="AQ24" s="889"/>
      <c r="AR24" s="889"/>
    </row>
    <row r="25" spans="1:44" ht="10.35" customHeight="1">
      <c r="A25" s="798">
        <v>23</v>
      </c>
      <c r="B25" s="799" t="s">
        <v>114</v>
      </c>
      <c r="C25" s="800">
        <v>308</v>
      </c>
      <c r="D25" s="800" t="s">
        <v>68</v>
      </c>
      <c r="E25" s="800" t="s">
        <v>69</v>
      </c>
      <c r="F25" s="801" t="s">
        <v>70</v>
      </c>
      <c r="G25" s="801" t="s">
        <v>81</v>
      </c>
      <c r="H25" s="864">
        <v>1</v>
      </c>
      <c r="I25" s="864">
        <v>1</v>
      </c>
      <c r="J25" s="802"/>
      <c r="K25" s="802"/>
      <c r="L25" s="864">
        <v>1</v>
      </c>
      <c r="M25" s="864">
        <v>1</v>
      </c>
      <c r="N25" s="864">
        <v>1</v>
      </c>
      <c r="O25" s="864">
        <v>1</v>
      </c>
      <c r="P25" s="864">
        <v>1</v>
      </c>
      <c r="Q25" s="802"/>
      <c r="R25" s="802"/>
      <c r="S25" s="847"/>
      <c r="T25" s="864">
        <v>1</v>
      </c>
      <c r="U25" s="864"/>
      <c r="V25" s="864"/>
      <c r="W25" s="864"/>
      <c r="X25" s="802"/>
      <c r="Y25" s="802"/>
      <c r="Z25" s="864"/>
      <c r="AA25" s="864"/>
      <c r="AB25" s="864"/>
      <c r="AC25" s="864"/>
      <c r="AD25" s="864"/>
      <c r="AE25" s="802"/>
      <c r="AF25" s="802"/>
      <c r="AG25" s="864"/>
      <c r="AH25" s="864"/>
      <c r="AI25" s="864"/>
      <c r="AJ25" s="864"/>
      <c r="AK25" s="864"/>
      <c r="AL25" s="802"/>
      <c r="AM25" s="826">
        <f t="shared" si="0"/>
        <v>8</v>
      </c>
      <c r="AN25" s="803"/>
      <c r="AO25" s="844">
        <f t="shared" si="1"/>
        <v>1</v>
      </c>
      <c r="AQ25" s="889"/>
      <c r="AR25" s="889"/>
    </row>
    <row r="26" spans="1:44" ht="10.5" customHeight="1">
      <c r="A26" s="798">
        <v>24</v>
      </c>
      <c r="B26" s="799" t="s">
        <v>115</v>
      </c>
      <c r="C26" s="800">
        <v>229</v>
      </c>
      <c r="D26" s="800" t="s">
        <v>63</v>
      </c>
      <c r="E26" s="800" t="s">
        <v>64</v>
      </c>
      <c r="F26" s="801" t="s">
        <v>65</v>
      </c>
      <c r="G26" s="801" t="s">
        <v>66</v>
      </c>
      <c r="H26" s="864">
        <v>1</v>
      </c>
      <c r="I26" s="864">
        <v>1</v>
      </c>
      <c r="J26" s="802"/>
      <c r="K26" s="802"/>
      <c r="L26" s="864">
        <v>1</v>
      </c>
      <c r="M26" s="864">
        <v>1</v>
      </c>
      <c r="N26" s="864">
        <v>1</v>
      </c>
      <c r="O26" s="864">
        <v>1</v>
      </c>
      <c r="P26" s="864">
        <v>1</v>
      </c>
      <c r="Q26" s="802"/>
      <c r="R26" s="802"/>
      <c r="S26" s="847"/>
      <c r="T26" s="864">
        <v>1</v>
      </c>
      <c r="U26" s="864"/>
      <c r="V26" s="864"/>
      <c r="W26" s="864"/>
      <c r="X26" s="802"/>
      <c r="Y26" s="802"/>
      <c r="Z26" s="864"/>
      <c r="AA26" s="864"/>
      <c r="AB26" s="864"/>
      <c r="AC26" s="864"/>
      <c r="AD26" s="864"/>
      <c r="AE26" s="802"/>
      <c r="AF26" s="802"/>
      <c r="AG26" s="864"/>
      <c r="AH26" s="864"/>
      <c r="AI26" s="864"/>
      <c r="AJ26" s="864"/>
      <c r="AK26" s="864"/>
      <c r="AL26" s="802"/>
      <c r="AM26" s="826">
        <f t="shared" si="0"/>
        <v>8</v>
      </c>
      <c r="AN26" s="803"/>
      <c r="AO26" s="844">
        <f t="shared" si="1"/>
        <v>1</v>
      </c>
      <c r="AQ26" s="890" t="s">
        <v>116</v>
      </c>
      <c r="AR26" s="890"/>
    </row>
    <row r="27" spans="1:44" ht="10.35" customHeight="1">
      <c r="A27" s="798">
        <v>25</v>
      </c>
      <c r="B27" s="799" t="s">
        <v>117</v>
      </c>
      <c r="C27" s="800">
        <v>357</v>
      </c>
      <c r="D27" s="800" t="s">
        <v>63</v>
      </c>
      <c r="E27" s="800" t="s">
        <v>64</v>
      </c>
      <c r="F27" s="801" t="s">
        <v>65</v>
      </c>
      <c r="G27" s="801" t="s">
        <v>66</v>
      </c>
      <c r="H27" s="864">
        <v>1</v>
      </c>
      <c r="I27" s="864">
        <v>1</v>
      </c>
      <c r="J27" s="802"/>
      <c r="K27" s="802"/>
      <c r="L27" s="864">
        <v>1</v>
      </c>
      <c r="M27" s="864">
        <v>1</v>
      </c>
      <c r="N27" s="864">
        <v>1</v>
      </c>
      <c r="O27" s="864">
        <v>1</v>
      </c>
      <c r="P27" s="864">
        <v>1</v>
      </c>
      <c r="Q27" s="802"/>
      <c r="R27" s="802"/>
      <c r="S27" s="847"/>
      <c r="T27" s="864">
        <v>1</v>
      </c>
      <c r="U27" s="864"/>
      <c r="V27" s="864"/>
      <c r="W27" s="864"/>
      <c r="X27" s="802"/>
      <c r="Y27" s="802"/>
      <c r="Z27" s="864"/>
      <c r="AA27" s="864"/>
      <c r="AB27" s="864"/>
      <c r="AC27" s="864"/>
      <c r="AD27" s="864"/>
      <c r="AE27" s="802"/>
      <c r="AF27" s="802"/>
      <c r="AG27" s="864"/>
      <c r="AH27" s="864"/>
      <c r="AI27" s="864"/>
      <c r="AJ27" s="864"/>
      <c r="AK27" s="864"/>
      <c r="AL27" s="802"/>
      <c r="AM27" s="826">
        <f t="shared" si="0"/>
        <v>8</v>
      </c>
      <c r="AN27" s="803"/>
      <c r="AO27" s="844">
        <f t="shared" si="1"/>
        <v>1</v>
      </c>
      <c r="AQ27" s="890"/>
      <c r="AR27" s="890"/>
    </row>
    <row r="28" spans="1:44" ht="10.35" customHeight="1">
      <c r="A28" s="798">
        <v>26</v>
      </c>
      <c r="B28" s="799" t="s">
        <v>118</v>
      </c>
      <c r="C28" s="800">
        <v>219</v>
      </c>
      <c r="D28" s="800" t="s">
        <v>63</v>
      </c>
      <c r="E28" s="800" t="s">
        <v>64</v>
      </c>
      <c r="F28" s="801" t="s">
        <v>65</v>
      </c>
      <c r="G28" s="801" t="s">
        <v>66</v>
      </c>
      <c r="H28" s="864">
        <v>1</v>
      </c>
      <c r="I28" s="864">
        <v>1</v>
      </c>
      <c r="J28" s="802"/>
      <c r="K28" s="802"/>
      <c r="L28" s="864">
        <v>1</v>
      </c>
      <c r="M28" s="864">
        <v>1</v>
      </c>
      <c r="N28" s="864">
        <v>1</v>
      </c>
      <c r="O28" s="864">
        <v>1</v>
      </c>
      <c r="P28" s="864">
        <v>1</v>
      </c>
      <c r="Q28" s="802"/>
      <c r="R28" s="802"/>
      <c r="S28" s="847"/>
      <c r="T28" s="864">
        <v>1</v>
      </c>
      <c r="U28" s="864"/>
      <c r="V28" s="864"/>
      <c r="W28" s="864"/>
      <c r="X28" s="802"/>
      <c r="Y28" s="802"/>
      <c r="Z28" s="864"/>
      <c r="AA28" s="864"/>
      <c r="AB28" s="864"/>
      <c r="AC28" s="864"/>
      <c r="AD28" s="864"/>
      <c r="AE28" s="802"/>
      <c r="AF28" s="802"/>
      <c r="AG28" s="864"/>
      <c r="AH28" s="864"/>
      <c r="AI28" s="864"/>
      <c r="AJ28" s="864"/>
      <c r="AK28" s="864"/>
      <c r="AL28" s="802"/>
      <c r="AM28" s="826">
        <f t="shared" si="0"/>
        <v>8</v>
      </c>
      <c r="AN28" s="803"/>
      <c r="AO28" s="844">
        <f t="shared" si="1"/>
        <v>1</v>
      </c>
      <c r="AQ28" s="889">
        <f>AQ23-AQ18</f>
        <v>1</v>
      </c>
      <c r="AR28" s="889"/>
    </row>
    <row r="29" spans="1:44" ht="10.35" customHeight="1">
      <c r="A29" s="798">
        <v>27</v>
      </c>
      <c r="B29" s="799" t="s">
        <v>119</v>
      </c>
      <c r="C29" s="800">
        <v>275</v>
      </c>
      <c r="D29" s="800" t="s">
        <v>78</v>
      </c>
      <c r="E29" s="800" t="s">
        <v>79</v>
      </c>
      <c r="F29" s="801" t="s">
        <v>80</v>
      </c>
      <c r="G29" s="801" t="s">
        <v>81</v>
      </c>
      <c r="H29" s="864">
        <v>1</v>
      </c>
      <c r="I29" s="864">
        <v>1</v>
      </c>
      <c r="J29" s="802"/>
      <c r="K29" s="802"/>
      <c r="L29" s="864">
        <v>1</v>
      </c>
      <c r="M29" s="864">
        <v>1</v>
      </c>
      <c r="N29" s="864">
        <v>1</v>
      </c>
      <c r="O29" s="864">
        <v>1</v>
      </c>
      <c r="P29" s="864">
        <v>1</v>
      </c>
      <c r="Q29" s="802"/>
      <c r="R29" s="802"/>
      <c r="S29" s="847"/>
      <c r="T29" s="864">
        <v>1</v>
      </c>
      <c r="U29" s="864"/>
      <c r="V29" s="864"/>
      <c r="W29" s="864"/>
      <c r="X29" s="802"/>
      <c r="Y29" s="802"/>
      <c r="Z29" s="864"/>
      <c r="AA29" s="864"/>
      <c r="AB29" s="864"/>
      <c r="AC29" s="864"/>
      <c r="AD29" s="864"/>
      <c r="AE29" s="802"/>
      <c r="AF29" s="802"/>
      <c r="AG29" s="864"/>
      <c r="AH29" s="864"/>
      <c r="AI29" s="864"/>
      <c r="AJ29" s="864"/>
      <c r="AK29" s="864"/>
      <c r="AL29" s="802"/>
      <c r="AM29" s="826">
        <f t="shared" si="0"/>
        <v>8</v>
      </c>
      <c r="AN29" s="803"/>
      <c r="AO29" s="844">
        <f t="shared" si="1"/>
        <v>1</v>
      </c>
      <c r="AQ29" s="889"/>
      <c r="AR29" s="889"/>
    </row>
    <row r="30" spans="1:44" ht="10.35" customHeight="1">
      <c r="A30" s="798">
        <v>28</v>
      </c>
      <c r="B30" s="804" t="s">
        <v>120</v>
      </c>
      <c r="C30" s="800">
        <v>376</v>
      </c>
      <c r="D30" s="800" t="s">
        <v>63</v>
      </c>
      <c r="E30" s="800" t="s">
        <v>64</v>
      </c>
      <c r="F30" s="801" t="s">
        <v>65</v>
      </c>
      <c r="G30" s="801" t="s">
        <v>66</v>
      </c>
      <c r="H30" s="864">
        <v>1</v>
      </c>
      <c r="I30" s="864">
        <v>1</v>
      </c>
      <c r="J30" s="802"/>
      <c r="K30" s="802"/>
      <c r="L30" s="864">
        <v>1</v>
      </c>
      <c r="M30" s="864">
        <v>1</v>
      </c>
      <c r="N30" s="864">
        <v>1</v>
      </c>
      <c r="O30" s="864">
        <v>1</v>
      </c>
      <c r="P30" s="864">
        <v>1</v>
      </c>
      <c r="Q30" s="802"/>
      <c r="R30" s="802"/>
      <c r="S30" s="847"/>
      <c r="T30" s="864">
        <v>1</v>
      </c>
      <c r="U30" s="864"/>
      <c r="V30" s="864"/>
      <c r="W30" s="864"/>
      <c r="X30" s="802"/>
      <c r="Y30" s="802"/>
      <c r="Z30" s="864"/>
      <c r="AA30" s="864"/>
      <c r="AB30" s="864"/>
      <c r="AC30" s="864"/>
      <c r="AD30" s="864"/>
      <c r="AE30" s="802"/>
      <c r="AF30" s="802"/>
      <c r="AG30" s="864"/>
      <c r="AH30" s="864"/>
      <c r="AI30" s="864"/>
      <c r="AJ30" s="864"/>
      <c r="AK30" s="864"/>
      <c r="AL30" s="802"/>
      <c r="AM30" s="826">
        <f t="shared" si="0"/>
        <v>8</v>
      </c>
      <c r="AN30" s="803"/>
      <c r="AO30" s="844">
        <f t="shared" si="1"/>
        <v>1</v>
      </c>
      <c r="AQ30" s="827"/>
      <c r="AR30" s="827"/>
    </row>
    <row r="31" spans="1:44" ht="10.35" customHeight="1">
      <c r="A31" s="798">
        <v>29</v>
      </c>
      <c r="B31" s="804" t="s">
        <v>121</v>
      </c>
      <c r="C31" s="800">
        <v>378</v>
      </c>
      <c r="D31" s="800" t="s">
        <v>63</v>
      </c>
      <c r="E31" s="800" t="s">
        <v>64</v>
      </c>
      <c r="F31" s="801" t="s">
        <v>65</v>
      </c>
      <c r="G31" s="801" t="s">
        <v>66</v>
      </c>
      <c r="H31" s="864">
        <v>1</v>
      </c>
      <c r="I31" s="864">
        <v>1</v>
      </c>
      <c r="J31" s="802"/>
      <c r="K31" s="802"/>
      <c r="L31" s="864">
        <v>1</v>
      </c>
      <c r="M31" s="864">
        <v>1</v>
      </c>
      <c r="N31" s="864">
        <v>1</v>
      </c>
      <c r="O31" s="864">
        <v>1</v>
      </c>
      <c r="P31" s="864">
        <v>1</v>
      </c>
      <c r="Q31" s="802"/>
      <c r="R31" s="802"/>
      <c r="S31" s="847"/>
      <c r="T31" s="864">
        <v>1</v>
      </c>
      <c r="U31" s="864"/>
      <c r="V31" s="864"/>
      <c r="W31" s="864"/>
      <c r="X31" s="802"/>
      <c r="Y31" s="802"/>
      <c r="Z31" s="864"/>
      <c r="AA31" s="864"/>
      <c r="AB31" s="864"/>
      <c r="AC31" s="864"/>
      <c r="AD31" s="864"/>
      <c r="AE31" s="802"/>
      <c r="AF31" s="802"/>
      <c r="AG31" s="864"/>
      <c r="AH31" s="864"/>
      <c r="AI31" s="864"/>
      <c r="AJ31" s="864"/>
      <c r="AK31" s="864"/>
      <c r="AL31" s="802"/>
      <c r="AM31" s="826">
        <f t="shared" ref="AM31" si="2">SUM(H31:AK31)</f>
        <v>8</v>
      </c>
      <c r="AN31" s="803"/>
      <c r="AO31" s="844">
        <f t="shared" ref="AO31" si="3">AM31/AP$1</f>
        <v>1</v>
      </c>
      <c r="AQ31" s="827"/>
      <c r="AR31" s="827"/>
    </row>
    <row r="32" spans="1:44" ht="10.35" customHeight="1">
      <c r="A32" s="798">
        <v>30</v>
      </c>
      <c r="B32" s="799" t="s">
        <v>122</v>
      </c>
      <c r="C32" s="800">
        <v>298</v>
      </c>
      <c r="D32" s="800" t="s">
        <v>93</v>
      </c>
      <c r="E32" s="800" t="s">
        <v>79</v>
      </c>
      <c r="F32" s="801" t="s">
        <v>94</v>
      </c>
      <c r="G32" s="801" t="s">
        <v>81</v>
      </c>
      <c r="H32" s="864">
        <v>1</v>
      </c>
      <c r="I32" s="864">
        <v>1</v>
      </c>
      <c r="J32" s="802"/>
      <c r="K32" s="802"/>
      <c r="L32" s="864">
        <v>1</v>
      </c>
      <c r="M32" s="864">
        <v>1</v>
      </c>
      <c r="N32" s="864">
        <v>1</v>
      </c>
      <c r="O32" s="864">
        <v>1</v>
      </c>
      <c r="P32" s="864">
        <v>1</v>
      </c>
      <c r="Q32" s="802"/>
      <c r="R32" s="802"/>
      <c r="S32" s="847"/>
      <c r="T32" s="864">
        <v>1</v>
      </c>
      <c r="U32" s="864"/>
      <c r="V32" s="864"/>
      <c r="W32" s="864"/>
      <c r="X32" s="802"/>
      <c r="Y32" s="802"/>
      <c r="Z32" s="864"/>
      <c r="AA32" s="864"/>
      <c r="AB32" s="864"/>
      <c r="AC32" s="864"/>
      <c r="AD32" s="864"/>
      <c r="AE32" s="802"/>
      <c r="AF32" s="802"/>
      <c r="AG32" s="864"/>
      <c r="AH32" s="864"/>
      <c r="AI32" s="864"/>
      <c r="AJ32" s="864"/>
      <c r="AK32" s="864"/>
      <c r="AL32" s="802"/>
      <c r="AM32" s="826">
        <f t="shared" si="0"/>
        <v>8</v>
      </c>
      <c r="AN32" s="803"/>
      <c r="AO32" s="844">
        <f t="shared" si="1"/>
        <v>1</v>
      </c>
      <c r="AQ32" s="827"/>
      <c r="AR32" s="827"/>
    </row>
    <row r="33" spans="1:44" ht="10.35" customHeight="1">
      <c r="A33" s="798">
        <v>31</v>
      </c>
      <c r="B33" s="799" t="s">
        <v>123</v>
      </c>
      <c r="C33" s="800">
        <v>181</v>
      </c>
      <c r="D33" s="800" t="s">
        <v>73</v>
      </c>
      <c r="E33" s="800" t="s">
        <v>69</v>
      </c>
      <c r="F33" s="801" t="s">
        <v>74</v>
      </c>
      <c r="G33" s="801" t="s">
        <v>81</v>
      </c>
      <c r="H33" s="864">
        <v>1</v>
      </c>
      <c r="I33" s="864">
        <v>1</v>
      </c>
      <c r="J33" s="802"/>
      <c r="K33" s="802"/>
      <c r="L33" s="864">
        <v>1</v>
      </c>
      <c r="M33" s="864">
        <v>1</v>
      </c>
      <c r="N33" s="864">
        <v>1</v>
      </c>
      <c r="O33" s="864">
        <v>1</v>
      </c>
      <c r="P33" s="864">
        <v>1</v>
      </c>
      <c r="Q33" s="802"/>
      <c r="R33" s="802"/>
      <c r="S33" s="847"/>
      <c r="T33" s="864">
        <v>1</v>
      </c>
      <c r="U33" s="864"/>
      <c r="V33" s="864"/>
      <c r="W33" s="864"/>
      <c r="X33" s="802"/>
      <c r="Y33" s="802"/>
      <c r="Z33" s="864"/>
      <c r="AA33" s="864"/>
      <c r="AB33" s="864"/>
      <c r="AC33" s="864"/>
      <c r="AD33" s="864"/>
      <c r="AE33" s="802"/>
      <c r="AF33" s="802"/>
      <c r="AG33" s="864"/>
      <c r="AH33" s="864"/>
      <c r="AI33" s="864"/>
      <c r="AJ33" s="864"/>
      <c r="AK33" s="864"/>
      <c r="AL33" s="802"/>
      <c r="AM33" s="826">
        <f t="shared" si="0"/>
        <v>8</v>
      </c>
      <c r="AN33" s="803"/>
      <c r="AO33" s="844">
        <f t="shared" si="1"/>
        <v>1</v>
      </c>
    </row>
    <row r="34" spans="1:44" ht="10.35" customHeight="1">
      <c r="A34" s="798">
        <v>32</v>
      </c>
      <c r="B34" s="799" t="s">
        <v>124</v>
      </c>
      <c r="C34" s="800">
        <v>272</v>
      </c>
      <c r="D34" s="800" t="s">
        <v>73</v>
      </c>
      <c r="E34" s="800" t="s">
        <v>69</v>
      </c>
      <c r="F34" s="801" t="s">
        <v>74</v>
      </c>
      <c r="G34" s="801" t="s">
        <v>81</v>
      </c>
      <c r="H34" s="864">
        <v>1</v>
      </c>
      <c r="I34" s="864">
        <v>1</v>
      </c>
      <c r="J34" s="802"/>
      <c r="K34" s="802"/>
      <c r="L34" s="864">
        <v>1</v>
      </c>
      <c r="M34" s="864">
        <v>1</v>
      </c>
      <c r="N34" s="864">
        <v>1</v>
      </c>
      <c r="O34" s="864">
        <v>1</v>
      </c>
      <c r="P34" s="864">
        <v>1</v>
      </c>
      <c r="Q34" s="802"/>
      <c r="R34" s="802"/>
      <c r="S34" s="847"/>
      <c r="T34" s="864">
        <v>1</v>
      </c>
      <c r="U34" s="864"/>
      <c r="V34" s="864"/>
      <c r="W34" s="864"/>
      <c r="X34" s="802"/>
      <c r="Y34" s="802"/>
      <c r="Z34" s="864"/>
      <c r="AA34" s="864"/>
      <c r="AB34" s="864"/>
      <c r="AC34" s="864"/>
      <c r="AD34" s="864"/>
      <c r="AE34" s="802"/>
      <c r="AF34" s="802"/>
      <c r="AG34" s="864"/>
      <c r="AH34" s="864"/>
      <c r="AI34" s="864"/>
      <c r="AJ34" s="864"/>
      <c r="AK34" s="864"/>
      <c r="AL34" s="802"/>
      <c r="AM34" s="826">
        <f t="shared" si="0"/>
        <v>8</v>
      </c>
      <c r="AN34" s="803"/>
      <c r="AO34" s="844">
        <f t="shared" si="1"/>
        <v>1</v>
      </c>
    </row>
    <row r="35" spans="1:44" ht="10.35" customHeight="1">
      <c r="A35" s="798">
        <v>33</v>
      </c>
      <c r="B35" s="799" t="s">
        <v>125</v>
      </c>
      <c r="C35" s="800">
        <v>371</v>
      </c>
      <c r="D35" s="800" t="s">
        <v>63</v>
      </c>
      <c r="E35" s="800" t="s">
        <v>64</v>
      </c>
      <c r="F35" s="801" t="s">
        <v>65</v>
      </c>
      <c r="G35" s="801" t="s">
        <v>66</v>
      </c>
      <c r="H35" s="864">
        <v>1</v>
      </c>
      <c r="I35" s="864">
        <v>1</v>
      </c>
      <c r="J35" s="802"/>
      <c r="K35" s="802"/>
      <c r="L35" s="864">
        <v>1</v>
      </c>
      <c r="M35" s="864">
        <v>1</v>
      </c>
      <c r="N35" s="864">
        <v>1</v>
      </c>
      <c r="O35" s="864">
        <v>1</v>
      </c>
      <c r="P35" s="864">
        <v>1</v>
      </c>
      <c r="Q35" s="802"/>
      <c r="R35" s="802"/>
      <c r="S35" s="847"/>
      <c r="T35" s="864">
        <v>1</v>
      </c>
      <c r="U35" s="864"/>
      <c r="V35" s="864"/>
      <c r="W35" s="864"/>
      <c r="X35" s="802"/>
      <c r="Y35" s="802"/>
      <c r="Z35" s="864"/>
      <c r="AA35" s="864"/>
      <c r="AB35" s="864"/>
      <c r="AC35" s="864"/>
      <c r="AD35" s="864"/>
      <c r="AE35" s="802"/>
      <c r="AF35" s="802"/>
      <c r="AG35" s="864"/>
      <c r="AH35" s="864"/>
      <c r="AI35" s="864"/>
      <c r="AJ35" s="864"/>
      <c r="AK35" s="864"/>
      <c r="AL35" s="802"/>
      <c r="AM35" s="826">
        <f t="shared" si="0"/>
        <v>8</v>
      </c>
      <c r="AN35" s="803"/>
      <c r="AO35" s="844">
        <f t="shared" si="1"/>
        <v>1</v>
      </c>
    </row>
    <row r="36" spans="1:44" ht="10.35" customHeight="1">
      <c r="A36" s="798">
        <v>34</v>
      </c>
      <c r="B36" s="799" t="s">
        <v>126</v>
      </c>
      <c r="C36" s="800">
        <v>73</v>
      </c>
      <c r="D36" s="800" t="s">
        <v>83</v>
      </c>
      <c r="E36" s="800" t="s">
        <v>104</v>
      </c>
      <c r="F36" s="801" t="s">
        <v>65</v>
      </c>
      <c r="G36" s="801" t="s">
        <v>90</v>
      </c>
      <c r="H36" s="864">
        <v>1</v>
      </c>
      <c r="I36" s="864">
        <v>1</v>
      </c>
      <c r="J36" s="802"/>
      <c r="K36" s="802"/>
      <c r="L36" s="864">
        <v>1</v>
      </c>
      <c r="M36" s="864">
        <v>1</v>
      </c>
      <c r="N36" s="864">
        <v>1</v>
      </c>
      <c r="O36" s="864">
        <v>1</v>
      </c>
      <c r="P36" s="864">
        <v>1</v>
      </c>
      <c r="Q36" s="802"/>
      <c r="R36" s="802"/>
      <c r="S36" s="847"/>
      <c r="T36" s="864">
        <v>1</v>
      </c>
      <c r="U36" s="864"/>
      <c r="V36" s="864"/>
      <c r="W36" s="864"/>
      <c r="X36" s="802"/>
      <c r="Y36" s="802"/>
      <c r="Z36" s="864"/>
      <c r="AA36" s="864"/>
      <c r="AB36" s="864"/>
      <c r="AC36" s="864"/>
      <c r="AD36" s="864"/>
      <c r="AE36" s="802"/>
      <c r="AF36" s="802"/>
      <c r="AG36" s="864"/>
      <c r="AH36" s="864"/>
      <c r="AI36" s="864"/>
      <c r="AJ36" s="864"/>
      <c r="AK36" s="864"/>
      <c r="AL36" s="802"/>
      <c r="AM36" s="826">
        <f t="shared" ref="AM36:AM52" si="4">SUM(H36:AK36)</f>
        <v>8</v>
      </c>
      <c r="AN36" s="803"/>
      <c r="AO36" s="844">
        <f t="shared" si="1"/>
        <v>1</v>
      </c>
    </row>
    <row r="37" spans="1:44" ht="10.35" customHeight="1">
      <c r="A37" s="798">
        <v>35</v>
      </c>
      <c r="B37" s="799" t="s">
        <v>127</v>
      </c>
      <c r="C37" s="800">
        <v>362</v>
      </c>
      <c r="D37" s="800" t="s">
        <v>63</v>
      </c>
      <c r="E37" s="800" t="s">
        <v>64</v>
      </c>
      <c r="F37" s="801" t="s">
        <v>65</v>
      </c>
      <c r="G37" s="801" t="s">
        <v>66</v>
      </c>
      <c r="H37" s="864">
        <v>1</v>
      </c>
      <c r="I37" s="864">
        <v>1</v>
      </c>
      <c r="J37" s="802"/>
      <c r="K37" s="802"/>
      <c r="L37" s="864">
        <v>1</v>
      </c>
      <c r="M37" s="864">
        <v>1</v>
      </c>
      <c r="N37" s="864">
        <v>1</v>
      </c>
      <c r="O37" s="864">
        <v>1</v>
      </c>
      <c r="P37" s="864">
        <v>1</v>
      </c>
      <c r="Q37" s="802"/>
      <c r="R37" s="802"/>
      <c r="S37" s="847"/>
      <c r="T37" s="864">
        <v>1</v>
      </c>
      <c r="U37" s="864"/>
      <c r="V37" s="864"/>
      <c r="W37" s="864"/>
      <c r="X37" s="802"/>
      <c r="Y37" s="802"/>
      <c r="Z37" s="864"/>
      <c r="AA37" s="864"/>
      <c r="AB37" s="864"/>
      <c r="AC37" s="864"/>
      <c r="AD37" s="864"/>
      <c r="AE37" s="802"/>
      <c r="AF37" s="802"/>
      <c r="AG37" s="864"/>
      <c r="AH37" s="864"/>
      <c r="AI37" s="864"/>
      <c r="AJ37" s="864"/>
      <c r="AK37" s="864"/>
      <c r="AL37" s="802"/>
      <c r="AM37" s="826">
        <f t="shared" si="4"/>
        <v>8</v>
      </c>
      <c r="AN37" s="803"/>
      <c r="AO37" s="844">
        <f t="shared" si="1"/>
        <v>1</v>
      </c>
    </row>
    <row r="38" spans="1:44" ht="10.35" customHeight="1">
      <c r="A38" s="798">
        <v>36</v>
      </c>
      <c r="B38" s="799" t="s">
        <v>128</v>
      </c>
      <c r="C38" s="800">
        <v>153</v>
      </c>
      <c r="D38" s="800" t="s">
        <v>68</v>
      </c>
      <c r="E38" s="800" t="s">
        <v>69</v>
      </c>
      <c r="F38" s="801" t="s">
        <v>70</v>
      </c>
      <c r="G38" s="801" t="s">
        <v>75</v>
      </c>
      <c r="H38" s="864">
        <v>1</v>
      </c>
      <c r="I38" s="864">
        <v>1</v>
      </c>
      <c r="J38" s="802"/>
      <c r="K38" s="802"/>
      <c r="L38" s="864">
        <v>1</v>
      </c>
      <c r="M38" s="864">
        <v>1</v>
      </c>
      <c r="N38" s="864">
        <v>1</v>
      </c>
      <c r="O38" s="864">
        <v>1</v>
      </c>
      <c r="P38" s="864">
        <v>1</v>
      </c>
      <c r="Q38" s="802"/>
      <c r="R38" s="802"/>
      <c r="S38" s="847"/>
      <c r="T38" s="864">
        <v>1</v>
      </c>
      <c r="U38" s="864"/>
      <c r="V38" s="864"/>
      <c r="W38" s="864"/>
      <c r="X38" s="802"/>
      <c r="Y38" s="802"/>
      <c r="Z38" s="864"/>
      <c r="AA38" s="864"/>
      <c r="AB38" s="864"/>
      <c r="AC38" s="864"/>
      <c r="AD38" s="864"/>
      <c r="AE38" s="802"/>
      <c r="AF38" s="802"/>
      <c r="AG38" s="864"/>
      <c r="AH38" s="864"/>
      <c r="AI38" s="864"/>
      <c r="AJ38" s="864"/>
      <c r="AK38" s="864"/>
      <c r="AL38" s="802"/>
      <c r="AM38" s="826">
        <f t="shared" si="4"/>
        <v>8</v>
      </c>
      <c r="AN38" s="803"/>
      <c r="AO38" s="844">
        <f t="shared" si="1"/>
        <v>1</v>
      </c>
    </row>
    <row r="39" spans="1:44" ht="10.35" customHeight="1">
      <c r="A39" s="798">
        <v>37</v>
      </c>
      <c r="B39" s="807" t="s">
        <v>129</v>
      </c>
      <c r="C39" s="808">
        <v>314</v>
      </c>
      <c r="D39" s="808" t="s">
        <v>63</v>
      </c>
      <c r="E39" s="808" t="s">
        <v>64</v>
      </c>
      <c r="F39" s="809" t="s">
        <v>65</v>
      </c>
      <c r="G39" s="801" t="s">
        <v>66</v>
      </c>
      <c r="H39" s="864">
        <v>1</v>
      </c>
      <c r="I39" s="864">
        <v>1</v>
      </c>
      <c r="J39" s="802"/>
      <c r="K39" s="802"/>
      <c r="L39" s="864">
        <v>1</v>
      </c>
      <c r="M39" s="864">
        <v>1</v>
      </c>
      <c r="N39" s="864">
        <v>1</v>
      </c>
      <c r="O39" s="864">
        <v>1</v>
      </c>
      <c r="P39" s="864">
        <v>1</v>
      </c>
      <c r="Q39" s="802"/>
      <c r="R39" s="802"/>
      <c r="S39" s="847"/>
      <c r="T39" s="864">
        <v>1</v>
      </c>
      <c r="U39" s="864"/>
      <c r="V39" s="864"/>
      <c r="W39" s="864"/>
      <c r="X39" s="802"/>
      <c r="Y39" s="802"/>
      <c r="Z39" s="864"/>
      <c r="AA39" s="864"/>
      <c r="AB39" s="864"/>
      <c r="AC39" s="864"/>
      <c r="AD39" s="864"/>
      <c r="AE39" s="802"/>
      <c r="AF39" s="802"/>
      <c r="AG39" s="864"/>
      <c r="AH39" s="864"/>
      <c r="AI39" s="864"/>
      <c r="AJ39" s="864"/>
      <c r="AK39" s="864"/>
      <c r="AL39" s="802"/>
      <c r="AM39" s="826">
        <f t="shared" si="4"/>
        <v>8</v>
      </c>
      <c r="AN39" s="803"/>
      <c r="AO39" s="844">
        <f t="shared" si="1"/>
        <v>1</v>
      </c>
    </row>
    <row r="40" spans="1:44" ht="10.35" customHeight="1">
      <c r="A40" s="798">
        <v>38</v>
      </c>
      <c r="B40" s="807" t="s">
        <v>130</v>
      </c>
      <c r="C40" s="808">
        <v>303</v>
      </c>
      <c r="D40" s="808" t="s">
        <v>131</v>
      </c>
      <c r="E40" s="808" t="s">
        <v>104</v>
      </c>
      <c r="F40" s="809" t="s">
        <v>105</v>
      </c>
      <c r="G40" s="809" t="s">
        <v>75</v>
      </c>
      <c r="H40" s="864">
        <v>1</v>
      </c>
      <c r="I40" s="864">
        <v>1</v>
      </c>
      <c r="J40" s="802"/>
      <c r="K40" s="802"/>
      <c r="L40" s="864">
        <v>1</v>
      </c>
      <c r="M40" s="864">
        <v>1</v>
      </c>
      <c r="N40" s="864">
        <v>1</v>
      </c>
      <c r="O40" s="864">
        <v>1</v>
      </c>
      <c r="P40" s="864">
        <v>1</v>
      </c>
      <c r="Q40" s="802"/>
      <c r="R40" s="802"/>
      <c r="S40" s="847"/>
      <c r="T40" s="864">
        <v>1</v>
      </c>
      <c r="U40" s="864"/>
      <c r="V40" s="864"/>
      <c r="W40" s="864"/>
      <c r="X40" s="802"/>
      <c r="Y40" s="802"/>
      <c r="Z40" s="864"/>
      <c r="AA40" s="865"/>
      <c r="AB40" s="864"/>
      <c r="AC40" s="864"/>
      <c r="AD40" s="864"/>
      <c r="AE40" s="802"/>
      <c r="AF40" s="802"/>
      <c r="AG40" s="864"/>
      <c r="AH40" s="865"/>
      <c r="AI40" s="864"/>
      <c r="AJ40" s="864"/>
      <c r="AK40" s="864"/>
      <c r="AL40" s="802"/>
      <c r="AM40" s="826">
        <f t="shared" si="4"/>
        <v>8</v>
      </c>
      <c r="AN40" s="803"/>
      <c r="AO40" s="844">
        <f t="shared" si="1"/>
        <v>1</v>
      </c>
    </row>
    <row r="41" spans="1:44" ht="10.35" customHeight="1">
      <c r="A41" s="798">
        <v>39</v>
      </c>
      <c r="B41" s="807" t="s">
        <v>132</v>
      </c>
      <c r="C41" s="808">
        <v>171</v>
      </c>
      <c r="D41" s="808" t="s">
        <v>133</v>
      </c>
      <c r="E41" s="808" t="s">
        <v>64</v>
      </c>
      <c r="F41" s="809" t="s">
        <v>134</v>
      </c>
      <c r="G41" s="809" t="s">
        <v>81</v>
      </c>
      <c r="H41" s="864">
        <v>1</v>
      </c>
      <c r="I41" s="864">
        <v>1</v>
      </c>
      <c r="J41" s="802"/>
      <c r="K41" s="802"/>
      <c r="L41" s="864">
        <v>1</v>
      </c>
      <c r="M41" s="864">
        <v>1</v>
      </c>
      <c r="N41" s="864">
        <v>1</v>
      </c>
      <c r="O41" s="864">
        <v>1</v>
      </c>
      <c r="P41" s="864">
        <v>1</v>
      </c>
      <c r="Q41" s="802"/>
      <c r="R41" s="802"/>
      <c r="S41" s="847"/>
      <c r="T41" s="864">
        <v>1</v>
      </c>
      <c r="U41" s="864"/>
      <c r="V41" s="864"/>
      <c r="W41" s="864"/>
      <c r="X41" s="802"/>
      <c r="Y41" s="802"/>
      <c r="Z41" s="864"/>
      <c r="AA41" s="865"/>
      <c r="AB41" s="864"/>
      <c r="AC41" s="864"/>
      <c r="AD41" s="864"/>
      <c r="AE41" s="802"/>
      <c r="AF41" s="802"/>
      <c r="AG41" s="864"/>
      <c r="AH41" s="865"/>
      <c r="AI41" s="864"/>
      <c r="AJ41" s="864"/>
      <c r="AK41" s="864"/>
      <c r="AL41" s="802"/>
      <c r="AM41" s="826">
        <f t="shared" si="4"/>
        <v>8</v>
      </c>
      <c r="AN41" s="803"/>
      <c r="AO41" s="844">
        <f t="shared" si="1"/>
        <v>1</v>
      </c>
      <c r="AP41" s="810"/>
    </row>
    <row r="42" spans="1:44" ht="10.35" customHeight="1">
      <c r="A42" s="798">
        <v>40</v>
      </c>
      <c r="B42" s="807" t="s">
        <v>135</v>
      </c>
      <c r="C42" s="808">
        <v>16</v>
      </c>
      <c r="D42" s="808" t="s">
        <v>136</v>
      </c>
      <c r="E42" s="800" t="s">
        <v>84</v>
      </c>
      <c r="F42" s="809" t="s">
        <v>137</v>
      </c>
      <c r="G42" s="809" t="s">
        <v>75</v>
      </c>
      <c r="H42" s="864">
        <v>1</v>
      </c>
      <c r="I42" s="864">
        <v>1</v>
      </c>
      <c r="J42" s="802"/>
      <c r="K42" s="802"/>
      <c r="L42" s="864">
        <v>1</v>
      </c>
      <c r="M42" s="864">
        <v>1</v>
      </c>
      <c r="N42" s="864">
        <v>1</v>
      </c>
      <c r="O42" s="864">
        <v>1</v>
      </c>
      <c r="P42" s="864">
        <v>1</v>
      </c>
      <c r="Q42" s="802"/>
      <c r="R42" s="802"/>
      <c r="S42" s="847"/>
      <c r="T42" s="864">
        <v>1</v>
      </c>
      <c r="U42" s="864"/>
      <c r="V42" s="864"/>
      <c r="W42" s="864"/>
      <c r="X42" s="802"/>
      <c r="Y42" s="802"/>
      <c r="Z42" s="864"/>
      <c r="AA42" s="865"/>
      <c r="AB42" s="864"/>
      <c r="AC42" s="864"/>
      <c r="AD42" s="864"/>
      <c r="AE42" s="802"/>
      <c r="AF42" s="802"/>
      <c r="AG42" s="864"/>
      <c r="AH42" s="865"/>
      <c r="AI42" s="864"/>
      <c r="AJ42" s="864"/>
      <c r="AK42" s="864"/>
      <c r="AL42" s="802"/>
      <c r="AM42" s="826">
        <f t="shared" si="4"/>
        <v>8</v>
      </c>
      <c r="AN42" s="803"/>
      <c r="AO42" s="844">
        <f t="shared" si="1"/>
        <v>1</v>
      </c>
      <c r="AP42" s="810"/>
    </row>
    <row r="43" spans="1:44" s="811" customFormat="1" ht="10.35" customHeight="1">
      <c r="A43" s="798">
        <v>41</v>
      </c>
      <c r="B43" s="799" t="s">
        <v>138</v>
      </c>
      <c r="C43" s="800">
        <v>70</v>
      </c>
      <c r="D43" s="800" t="s">
        <v>133</v>
      </c>
      <c r="E43" s="800" t="s">
        <v>64</v>
      </c>
      <c r="F43" s="801" t="s">
        <v>139</v>
      </c>
      <c r="G43" s="801" t="s">
        <v>81</v>
      </c>
      <c r="H43" s="864">
        <v>1</v>
      </c>
      <c r="I43" s="864">
        <v>1</v>
      </c>
      <c r="J43" s="802"/>
      <c r="K43" s="802"/>
      <c r="L43" s="864">
        <v>1</v>
      </c>
      <c r="M43" s="864">
        <v>1</v>
      </c>
      <c r="N43" s="864">
        <v>1</v>
      </c>
      <c r="O43" s="864">
        <v>1</v>
      </c>
      <c r="P43" s="864">
        <v>1</v>
      </c>
      <c r="Q43" s="802"/>
      <c r="R43" s="802"/>
      <c r="S43" s="847"/>
      <c r="T43" s="864">
        <v>1</v>
      </c>
      <c r="U43" s="864"/>
      <c r="V43" s="864"/>
      <c r="W43" s="864"/>
      <c r="X43" s="802"/>
      <c r="Y43" s="802"/>
      <c r="Z43" s="864"/>
      <c r="AA43" s="864"/>
      <c r="AB43" s="864"/>
      <c r="AC43" s="864"/>
      <c r="AD43" s="864"/>
      <c r="AE43" s="802"/>
      <c r="AF43" s="802"/>
      <c r="AG43" s="864"/>
      <c r="AH43" s="864"/>
      <c r="AI43" s="864"/>
      <c r="AJ43" s="864"/>
      <c r="AK43" s="864"/>
      <c r="AL43" s="802"/>
      <c r="AM43" s="826">
        <f t="shared" si="4"/>
        <v>8</v>
      </c>
      <c r="AN43" s="803"/>
      <c r="AO43" s="844">
        <f t="shared" si="1"/>
        <v>1</v>
      </c>
    </row>
    <row r="44" spans="1:44" ht="10.35" customHeight="1">
      <c r="A44" s="798">
        <v>42</v>
      </c>
      <c r="B44" s="807" t="s">
        <v>140</v>
      </c>
      <c r="C44" s="808">
        <v>47</v>
      </c>
      <c r="D44" s="808" t="s">
        <v>133</v>
      </c>
      <c r="E44" s="808" t="s">
        <v>64</v>
      </c>
      <c r="F44" s="809" t="s">
        <v>141</v>
      </c>
      <c r="G44" s="809" t="s">
        <v>66</v>
      </c>
      <c r="H44" s="864">
        <v>1</v>
      </c>
      <c r="I44" s="864">
        <v>1</v>
      </c>
      <c r="J44" s="802"/>
      <c r="K44" s="802"/>
      <c r="L44" s="864">
        <v>1</v>
      </c>
      <c r="M44" s="864">
        <v>1</v>
      </c>
      <c r="N44" s="864">
        <v>1</v>
      </c>
      <c r="O44" s="864">
        <v>1</v>
      </c>
      <c r="P44" s="864">
        <v>1</v>
      </c>
      <c r="Q44" s="802"/>
      <c r="R44" s="802"/>
      <c r="S44" s="847"/>
      <c r="T44" s="864">
        <v>1</v>
      </c>
      <c r="U44" s="864"/>
      <c r="V44" s="864"/>
      <c r="W44" s="864"/>
      <c r="X44" s="802"/>
      <c r="Y44" s="802"/>
      <c r="Z44" s="864"/>
      <c r="AA44" s="865"/>
      <c r="AB44" s="864"/>
      <c r="AC44" s="864"/>
      <c r="AD44" s="864"/>
      <c r="AE44" s="802"/>
      <c r="AF44" s="802"/>
      <c r="AG44" s="864"/>
      <c r="AH44" s="865"/>
      <c r="AI44" s="864"/>
      <c r="AJ44" s="864"/>
      <c r="AK44" s="864"/>
      <c r="AL44" s="802"/>
      <c r="AM44" s="826">
        <f t="shared" si="4"/>
        <v>8</v>
      </c>
      <c r="AN44" s="803"/>
      <c r="AO44" s="844">
        <f t="shared" si="1"/>
        <v>1</v>
      </c>
    </row>
    <row r="45" spans="1:44" ht="10.35" customHeight="1">
      <c r="A45" s="798">
        <v>43</v>
      </c>
      <c r="B45" s="799" t="s">
        <v>142</v>
      </c>
      <c r="C45" s="812">
        <v>355</v>
      </c>
      <c r="D45" s="812" t="s">
        <v>63</v>
      </c>
      <c r="E45" s="812" t="s">
        <v>64</v>
      </c>
      <c r="F45" s="801" t="s">
        <v>65</v>
      </c>
      <c r="G45" s="801" t="s">
        <v>66</v>
      </c>
      <c r="H45" s="864">
        <v>1</v>
      </c>
      <c r="I45" s="864">
        <v>1</v>
      </c>
      <c r="J45" s="802"/>
      <c r="K45" s="802"/>
      <c r="L45" s="864">
        <v>1</v>
      </c>
      <c r="M45" s="864">
        <v>1</v>
      </c>
      <c r="N45" s="864">
        <v>1</v>
      </c>
      <c r="O45" s="864">
        <v>1</v>
      </c>
      <c r="P45" s="864">
        <v>1</v>
      </c>
      <c r="Q45" s="802"/>
      <c r="R45" s="802"/>
      <c r="S45" s="847"/>
      <c r="T45" s="864">
        <v>1</v>
      </c>
      <c r="U45" s="864"/>
      <c r="V45" s="864"/>
      <c r="W45" s="864"/>
      <c r="X45" s="802"/>
      <c r="Y45" s="802"/>
      <c r="Z45" s="864"/>
      <c r="AA45" s="867"/>
      <c r="AB45" s="864"/>
      <c r="AC45" s="864"/>
      <c r="AD45" s="864"/>
      <c r="AE45" s="802"/>
      <c r="AF45" s="802"/>
      <c r="AG45" s="864"/>
      <c r="AH45" s="867"/>
      <c r="AI45" s="864"/>
      <c r="AJ45" s="864"/>
      <c r="AK45" s="864"/>
      <c r="AL45" s="802"/>
      <c r="AM45" s="826">
        <f t="shared" si="4"/>
        <v>8</v>
      </c>
      <c r="AN45" s="803"/>
      <c r="AO45" s="844">
        <f t="shared" si="1"/>
        <v>1</v>
      </c>
    </row>
    <row r="46" spans="1:44" ht="10.35" customHeight="1">
      <c r="A46" s="798">
        <v>44</v>
      </c>
      <c r="B46" s="799" t="s">
        <v>143</v>
      </c>
      <c r="C46" s="812">
        <v>105</v>
      </c>
      <c r="D46" s="812" t="s">
        <v>83</v>
      </c>
      <c r="E46" s="812" t="s">
        <v>69</v>
      </c>
      <c r="F46" s="801" t="s">
        <v>70</v>
      </c>
      <c r="G46" s="801" t="s">
        <v>75</v>
      </c>
      <c r="H46" s="864">
        <v>1</v>
      </c>
      <c r="I46" s="864">
        <v>1</v>
      </c>
      <c r="J46" s="802"/>
      <c r="K46" s="802"/>
      <c r="L46" s="864">
        <v>1</v>
      </c>
      <c r="M46" s="864">
        <v>1</v>
      </c>
      <c r="N46" s="864">
        <v>1</v>
      </c>
      <c r="O46" s="864">
        <v>1</v>
      </c>
      <c r="P46" s="864">
        <v>1</v>
      </c>
      <c r="Q46" s="802"/>
      <c r="R46" s="802"/>
      <c r="S46" s="847"/>
      <c r="T46" s="864">
        <v>1</v>
      </c>
      <c r="U46" s="864"/>
      <c r="V46" s="864"/>
      <c r="W46" s="864"/>
      <c r="X46" s="802"/>
      <c r="Y46" s="802"/>
      <c r="Z46" s="864"/>
      <c r="AA46" s="867"/>
      <c r="AB46" s="864"/>
      <c r="AC46" s="864"/>
      <c r="AD46" s="864"/>
      <c r="AE46" s="802"/>
      <c r="AF46" s="802"/>
      <c r="AG46" s="864"/>
      <c r="AH46" s="867"/>
      <c r="AI46" s="864"/>
      <c r="AJ46" s="864"/>
      <c r="AK46" s="864"/>
      <c r="AL46" s="802"/>
      <c r="AM46" s="826">
        <f t="shared" si="4"/>
        <v>8</v>
      </c>
      <c r="AN46" s="803"/>
      <c r="AO46" s="844">
        <f t="shared" si="1"/>
        <v>1</v>
      </c>
    </row>
    <row r="47" spans="1:44" ht="10.35" customHeight="1">
      <c r="A47" s="798">
        <v>45</v>
      </c>
      <c r="B47" s="799" t="s">
        <v>144</v>
      </c>
      <c r="C47" s="800">
        <v>318</v>
      </c>
      <c r="D47" s="800" t="s">
        <v>103</v>
      </c>
      <c r="E47" s="800" t="s">
        <v>104</v>
      </c>
      <c r="F47" s="801" t="s">
        <v>105</v>
      </c>
      <c r="G47" s="801" t="s">
        <v>112</v>
      </c>
      <c r="H47" s="864">
        <v>1</v>
      </c>
      <c r="I47" s="864">
        <v>1</v>
      </c>
      <c r="J47" s="802"/>
      <c r="K47" s="802"/>
      <c r="L47" s="864">
        <v>1</v>
      </c>
      <c r="M47" s="864">
        <v>1</v>
      </c>
      <c r="N47" s="864">
        <v>1</v>
      </c>
      <c r="O47" s="864">
        <v>1</v>
      </c>
      <c r="P47" s="864">
        <v>1</v>
      </c>
      <c r="Q47" s="802"/>
      <c r="R47" s="802"/>
      <c r="S47" s="847"/>
      <c r="T47" s="864">
        <v>1</v>
      </c>
      <c r="U47" s="864"/>
      <c r="V47" s="864"/>
      <c r="W47" s="864"/>
      <c r="X47" s="802"/>
      <c r="Y47" s="802"/>
      <c r="Z47" s="864"/>
      <c r="AA47" s="864"/>
      <c r="AB47" s="864"/>
      <c r="AC47" s="864"/>
      <c r="AD47" s="864"/>
      <c r="AE47" s="802"/>
      <c r="AF47" s="802"/>
      <c r="AG47" s="864"/>
      <c r="AH47" s="864"/>
      <c r="AI47" s="864"/>
      <c r="AJ47" s="864"/>
      <c r="AK47" s="864"/>
      <c r="AL47" s="802"/>
      <c r="AM47" s="826">
        <f t="shared" si="4"/>
        <v>8</v>
      </c>
      <c r="AN47" s="803"/>
      <c r="AO47" s="844">
        <f t="shared" si="1"/>
        <v>1</v>
      </c>
    </row>
    <row r="48" spans="1:44" ht="10.35" customHeight="1">
      <c r="A48" s="798">
        <v>46</v>
      </c>
      <c r="B48" s="799" t="s">
        <v>145</v>
      </c>
      <c r="C48" s="800">
        <v>304</v>
      </c>
      <c r="D48" s="800" t="s">
        <v>63</v>
      </c>
      <c r="E48" s="800" t="s">
        <v>64</v>
      </c>
      <c r="F48" s="801" t="s">
        <v>65</v>
      </c>
      <c r="G48" s="801" t="s">
        <v>66</v>
      </c>
      <c r="H48" s="864">
        <v>1</v>
      </c>
      <c r="I48" s="864">
        <v>1</v>
      </c>
      <c r="J48" s="802"/>
      <c r="K48" s="802"/>
      <c r="L48" s="864">
        <v>1</v>
      </c>
      <c r="M48" s="864">
        <v>1</v>
      </c>
      <c r="N48" s="864">
        <v>1</v>
      </c>
      <c r="O48" s="864">
        <v>1</v>
      </c>
      <c r="P48" s="864">
        <v>1</v>
      </c>
      <c r="Q48" s="802"/>
      <c r="R48" s="802"/>
      <c r="S48" s="847"/>
      <c r="T48" s="864">
        <v>1</v>
      </c>
      <c r="U48" s="864"/>
      <c r="V48" s="864"/>
      <c r="W48" s="864"/>
      <c r="X48" s="802"/>
      <c r="Y48" s="802"/>
      <c r="Z48" s="864"/>
      <c r="AA48" s="864"/>
      <c r="AB48" s="864"/>
      <c r="AC48" s="864"/>
      <c r="AD48" s="864"/>
      <c r="AE48" s="802"/>
      <c r="AF48" s="802"/>
      <c r="AG48" s="864"/>
      <c r="AH48" s="864"/>
      <c r="AI48" s="864"/>
      <c r="AJ48" s="864"/>
      <c r="AK48" s="864"/>
      <c r="AL48" s="802"/>
      <c r="AM48" s="826">
        <f t="shared" si="4"/>
        <v>8</v>
      </c>
      <c r="AN48" s="803"/>
      <c r="AO48" s="844">
        <f t="shared" si="1"/>
        <v>1</v>
      </c>
      <c r="AQ48" s="789"/>
      <c r="AR48" s="789"/>
    </row>
    <row r="49" spans="1:44" ht="10.35" customHeight="1" thickBot="1">
      <c r="A49" s="798">
        <v>47</v>
      </c>
      <c r="B49" s="813" t="s">
        <v>146</v>
      </c>
      <c r="C49" s="812">
        <v>149</v>
      </c>
      <c r="D49" s="812" t="s">
        <v>147</v>
      </c>
      <c r="E49" s="812" t="s">
        <v>64</v>
      </c>
      <c r="F49" s="814" t="s">
        <v>134</v>
      </c>
      <c r="G49" s="814" t="s">
        <v>81</v>
      </c>
      <c r="H49" s="865">
        <v>1</v>
      </c>
      <c r="I49" s="865">
        <v>1</v>
      </c>
      <c r="J49" s="805"/>
      <c r="K49" s="805"/>
      <c r="L49" s="865">
        <v>1</v>
      </c>
      <c r="M49" s="865">
        <v>1</v>
      </c>
      <c r="N49" s="865">
        <v>1</v>
      </c>
      <c r="O49" s="865">
        <v>1</v>
      </c>
      <c r="P49" s="865">
        <v>1</v>
      </c>
      <c r="Q49" s="805"/>
      <c r="R49" s="805"/>
      <c r="S49" s="848"/>
      <c r="T49" s="865">
        <v>1</v>
      </c>
      <c r="U49" s="865"/>
      <c r="V49" s="865"/>
      <c r="W49" s="865"/>
      <c r="X49" s="805"/>
      <c r="Y49" s="805"/>
      <c r="Z49" s="865"/>
      <c r="AA49" s="865"/>
      <c r="AB49" s="865"/>
      <c r="AC49" s="865"/>
      <c r="AD49" s="865"/>
      <c r="AE49" s="805"/>
      <c r="AF49" s="805"/>
      <c r="AG49" s="865"/>
      <c r="AH49" s="865"/>
      <c r="AI49" s="865"/>
      <c r="AJ49" s="865"/>
      <c r="AK49" s="865"/>
      <c r="AL49" s="805"/>
      <c r="AM49" s="826">
        <f t="shared" si="4"/>
        <v>8</v>
      </c>
      <c r="AN49" s="803"/>
      <c r="AO49" s="844">
        <f t="shared" si="1"/>
        <v>1</v>
      </c>
    </row>
    <row r="50" spans="1:44" ht="10.35" customHeight="1" thickTop="1">
      <c r="A50" s="798">
        <v>48</v>
      </c>
      <c r="B50" s="815" t="s">
        <v>148</v>
      </c>
      <c r="C50" s="536" t="s">
        <v>149</v>
      </c>
      <c r="D50" s="536" t="s">
        <v>131</v>
      </c>
      <c r="E50" s="536" t="s">
        <v>104</v>
      </c>
      <c r="F50" s="546" t="s">
        <v>149</v>
      </c>
      <c r="G50" s="546" t="s">
        <v>150</v>
      </c>
      <c r="H50" s="866">
        <v>1</v>
      </c>
      <c r="I50" s="866">
        <v>1</v>
      </c>
      <c r="J50" s="833"/>
      <c r="K50" s="833"/>
      <c r="L50" s="866">
        <v>1</v>
      </c>
      <c r="M50" s="866">
        <v>1</v>
      </c>
      <c r="N50" s="866">
        <v>1</v>
      </c>
      <c r="O50" s="866">
        <v>1</v>
      </c>
      <c r="P50" s="866">
        <v>1</v>
      </c>
      <c r="Q50" s="833"/>
      <c r="R50" s="833"/>
      <c r="S50" s="849"/>
      <c r="T50" s="866">
        <v>1</v>
      </c>
      <c r="U50" s="866"/>
      <c r="V50" s="866"/>
      <c r="W50" s="866"/>
      <c r="X50" s="833"/>
      <c r="Y50" s="833"/>
      <c r="Z50" s="866"/>
      <c r="AA50" s="866"/>
      <c r="AB50" s="866"/>
      <c r="AC50" s="866"/>
      <c r="AD50" s="866"/>
      <c r="AE50" s="833"/>
      <c r="AF50" s="833"/>
      <c r="AG50" s="866"/>
      <c r="AH50" s="866"/>
      <c r="AI50" s="866"/>
      <c r="AJ50" s="866"/>
      <c r="AK50" s="866"/>
      <c r="AL50" s="833"/>
      <c r="AM50" s="826">
        <f t="shared" si="4"/>
        <v>8</v>
      </c>
      <c r="AN50" s="803"/>
      <c r="AO50" s="844">
        <f t="shared" si="1"/>
        <v>1</v>
      </c>
      <c r="AQ50" s="828"/>
      <c r="AR50" s="828"/>
    </row>
    <row r="51" spans="1:44" ht="9" customHeight="1">
      <c r="A51" s="798">
        <v>49</v>
      </c>
      <c r="B51" s="799" t="s">
        <v>151</v>
      </c>
      <c r="C51" s="538" t="s">
        <v>152</v>
      </c>
      <c r="D51" s="538" t="s">
        <v>86</v>
      </c>
      <c r="E51" s="538" t="s">
        <v>64</v>
      </c>
      <c r="F51" s="547" t="s">
        <v>87</v>
      </c>
      <c r="G51" s="547" t="s">
        <v>150</v>
      </c>
      <c r="H51" s="864">
        <v>1</v>
      </c>
      <c r="I51" s="864">
        <v>1</v>
      </c>
      <c r="J51" s="802"/>
      <c r="K51" s="802"/>
      <c r="L51" s="864">
        <v>1</v>
      </c>
      <c r="M51" s="864">
        <v>1</v>
      </c>
      <c r="N51" s="864">
        <v>1</v>
      </c>
      <c r="O51" s="864">
        <v>1</v>
      </c>
      <c r="P51" s="864">
        <v>1</v>
      </c>
      <c r="Q51" s="802"/>
      <c r="R51" s="802"/>
      <c r="S51" s="848"/>
      <c r="T51" s="864">
        <v>1</v>
      </c>
      <c r="U51" s="864"/>
      <c r="V51" s="864"/>
      <c r="W51" s="864"/>
      <c r="X51" s="802"/>
      <c r="Y51" s="802"/>
      <c r="Z51" s="865"/>
      <c r="AA51" s="864"/>
      <c r="AB51" s="864"/>
      <c r="AC51" s="864"/>
      <c r="AD51" s="864"/>
      <c r="AE51" s="802"/>
      <c r="AF51" s="802"/>
      <c r="AG51" s="865"/>
      <c r="AH51" s="864"/>
      <c r="AI51" s="864"/>
      <c r="AJ51" s="864"/>
      <c r="AK51" s="864"/>
      <c r="AL51" s="802"/>
      <c r="AM51" s="826">
        <f t="shared" si="4"/>
        <v>8</v>
      </c>
      <c r="AN51" s="803"/>
      <c r="AO51" s="844">
        <f t="shared" si="1"/>
        <v>1</v>
      </c>
    </row>
    <row r="52" spans="1:44" ht="10.35" customHeight="1">
      <c r="A52" s="798">
        <v>50</v>
      </c>
      <c r="B52" s="799" t="s">
        <v>153</v>
      </c>
      <c r="C52" s="538" t="s">
        <v>152</v>
      </c>
      <c r="D52" s="538" t="s">
        <v>86</v>
      </c>
      <c r="E52" s="538" t="s">
        <v>64</v>
      </c>
      <c r="F52" s="547" t="s">
        <v>86</v>
      </c>
      <c r="G52" s="547" t="s">
        <v>150</v>
      </c>
      <c r="H52" s="864">
        <v>1</v>
      </c>
      <c r="I52" s="864">
        <v>1</v>
      </c>
      <c r="J52" s="802"/>
      <c r="K52" s="802"/>
      <c r="L52" s="864">
        <v>1</v>
      </c>
      <c r="M52" s="864">
        <v>1</v>
      </c>
      <c r="N52" s="864">
        <v>1</v>
      </c>
      <c r="O52" s="864">
        <v>1</v>
      </c>
      <c r="P52" s="864">
        <v>1</v>
      </c>
      <c r="Q52" s="802"/>
      <c r="R52" s="802"/>
      <c r="S52" s="847"/>
      <c r="T52" s="864">
        <v>1</v>
      </c>
      <c r="U52" s="864"/>
      <c r="V52" s="864"/>
      <c r="W52" s="864"/>
      <c r="X52" s="802"/>
      <c r="Y52" s="802"/>
      <c r="Z52" s="864"/>
      <c r="AA52" s="864"/>
      <c r="AB52" s="864"/>
      <c r="AC52" s="864"/>
      <c r="AD52" s="864"/>
      <c r="AE52" s="802"/>
      <c r="AF52" s="802"/>
      <c r="AG52" s="864"/>
      <c r="AH52" s="864"/>
      <c r="AI52" s="864"/>
      <c r="AJ52" s="864"/>
      <c r="AK52" s="864"/>
      <c r="AL52" s="802"/>
      <c r="AM52" s="826">
        <f t="shared" si="4"/>
        <v>8</v>
      </c>
      <c r="AN52" s="803"/>
      <c r="AO52" s="844">
        <f t="shared" si="1"/>
        <v>1</v>
      </c>
    </row>
    <row r="53" spans="1:44" ht="12">
      <c r="B53" s="830" t="s">
        <v>154</v>
      </c>
      <c r="G53" s="817" t="s">
        <v>61</v>
      </c>
      <c r="H53" s="818">
        <f>SUM(H3:H52)</f>
        <v>49</v>
      </c>
      <c r="I53" s="818">
        <f>SUM(I3:I52)</f>
        <v>49</v>
      </c>
      <c r="J53" s="818"/>
      <c r="K53" s="818"/>
      <c r="L53" s="818">
        <f>SUM(L3:L52)</f>
        <v>49</v>
      </c>
      <c r="M53" s="818">
        <f>SUM(M3:M52)</f>
        <v>49</v>
      </c>
      <c r="N53" s="818">
        <f t="shared" ref="N53:P53" si="5">SUM(N3:N52)</f>
        <v>49</v>
      </c>
      <c r="O53" s="818">
        <f t="shared" si="5"/>
        <v>49</v>
      </c>
      <c r="P53" s="818">
        <f t="shared" si="5"/>
        <v>49</v>
      </c>
      <c r="Q53" s="818"/>
      <c r="R53" s="818"/>
      <c r="S53" s="818"/>
      <c r="T53" s="818">
        <f>SUM(T3:T52)</f>
        <v>49</v>
      </c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31">
        <f>AVERAGE(H53:AK53)</f>
        <v>49</v>
      </c>
      <c r="AN53" s="806"/>
      <c r="AO53" s="806"/>
    </row>
    <row r="54" spans="1:44" ht="12">
      <c r="B54" s="830" t="s">
        <v>155</v>
      </c>
      <c r="G54" s="817"/>
      <c r="H54" s="818">
        <v>50</v>
      </c>
      <c r="I54" s="818">
        <v>50</v>
      </c>
      <c r="J54" s="818"/>
      <c r="K54" s="818"/>
      <c r="L54" s="818">
        <v>50</v>
      </c>
      <c r="M54" s="818">
        <v>50</v>
      </c>
      <c r="N54" s="818">
        <v>50</v>
      </c>
      <c r="O54" s="818">
        <v>50</v>
      </c>
      <c r="P54" s="818">
        <v>50</v>
      </c>
      <c r="Q54" s="818"/>
      <c r="R54" s="818"/>
      <c r="S54" s="818"/>
      <c r="T54" s="818">
        <v>50</v>
      </c>
      <c r="U54" s="818"/>
      <c r="V54" s="818"/>
      <c r="W54" s="818"/>
      <c r="X54" s="818"/>
      <c r="Y54" s="818"/>
      <c r="Z54" s="818"/>
      <c r="AA54" s="818"/>
      <c r="AB54" s="818"/>
      <c r="AC54" s="818"/>
      <c r="AD54" s="818"/>
      <c r="AE54" s="818"/>
      <c r="AF54" s="818"/>
      <c r="AG54" s="818"/>
      <c r="AH54" s="818"/>
      <c r="AI54" s="818"/>
      <c r="AJ54" s="818"/>
      <c r="AK54" s="818"/>
      <c r="AL54" s="818"/>
      <c r="AM54" s="831">
        <f>AVERAGE(H54:AK54)</f>
        <v>50</v>
      </c>
      <c r="AN54" s="806"/>
      <c r="AO54" s="806"/>
    </row>
    <row r="55" spans="1:44" ht="15" customHeight="1">
      <c r="B55" s="819"/>
      <c r="C55" s="820"/>
      <c r="D55" s="820"/>
      <c r="E55" s="821"/>
      <c r="H55" s="822">
        <f t="shared" ref="H55" si="6">H53/H54</f>
        <v>0.98</v>
      </c>
      <c r="I55" s="822">
        <f>I53/I54</f>
        <v>0.98</v>
      </c>
      <c r="J55" s="822"/>
      <c r="K55" s="822"/>
      <c r="L55" s="822">
        <f>L53/L54</f>
        <v>0.98</v>
      </c>
      <c r="M55" s="822">
        <f>M53/M54</f>
        <v>0.98</v>
      </c>
      <c r="N55" s="822">
        <f t="shared" ref="N55:P55" si="7">N53/N54</f>
        <v>0.98</v>
      </c>
      <c r="O55" s="822">
        <f t="shared" si="7"/>
        <v>0.98</v>
      </c>
      <c r="P55" s="822">
        <f t="shared" si="7"/>
        <v>0.98</v>
      </c>
      <c r="Q55" s="822"/>
      <c r="R55" s="822"/>
      <c r="S55" s="822"/>
      <c r="T55" s="822">
        <f>T53/T54</f>
        <v>0.98</v>
      </c>
      <c r="U55" s="822"/>
      <c r="V55" s="822"/>
      <c r="W55" s="822"/>
      <c r="X55" s="822"/>
      <c r="Y55" s="822"/>
      <c r="Z55" s="822"/>
      <c r="AA55" s="822"/>
      <c r="AB55" s="822"/>
      <c r="AC55" s="822"/>
      <c r="AD55" s="822"/>
      <c r="AE55" s="822"/>
      <c r="AF55" s="822"/>
      <c r="AG55" s="822"/>
      <c r="AH55" s="822"/>
      <c r="AI55" s="822"/>
      <c r="AJ55" s="822"/>
      <c r="AK55" s="822"/>
      <c r="AL55" s="822"/>
      <c r="AM55" s="832">
        <f>AM53/AM54</f>
        <v>0.98</v>
      </c>
      <c r="AN55" s="789"/>
      <c r="AO55" s="789"/>
    </row>
  </sheetData>
  <autoFilter ref="A2:AO55" xr:uid="{08786A44-688A-4864-AEB5-8560CFC753E5}"/>
  <sortState xmlns:xlrd2="http://schemas.microsoft.com/office/spreadsheetml/2017/richdata2" ref="B3:F39">
    <sortCondition ref="B3:B39"/>
  </sortState>
  <mergeCells count="8">
    <mergeCell ref="AQ23:AR25"/>
    <mergeCell ref="AQ28:AR29"/>
    <mergeCell ref="AQ20:AR22"/>
    <mergeCell ref="AQ26:AR27"/>
    <mergeCell ref="A1:B1"/>
    <mergeCell ref="AN1:AO1"/>
    <mergeCell ref="AQ18:AR19"/>
    <mergeCell ref="AQ14:AR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8398-B56C-48FB-A2CA-BF2F28385B44}">
  <sheetPr codeName="Planilha3"/>
  <dimension ref="B3:M119"/>
  <sheetViews>
    <sheetView topLeftCell="E40" workbookViewId="0">
      <selection activeCell="M46" sqref="M46"/>
    </sheetView>
  </sheetViews>
  <sheetFormatPr defaultRowHeight="14.25"/>
  <cols>
    <col min="1" max="1" width="6.5" customWidth="1"/>
    <col min="2" max="2" width="4.5" bestFit="1" customWidth="1"/>
    <col min="3" max="3" width="31.5" bestFit="1" customWidth="1"/>
    <col min="4" max="4" width="9.5" bestFit="1" customWidth="1"/>
    <col min="5" max="5" width="11.5" bestFit="1" customWidth="1"/>
    <col min="6" max="6" width="11.5" customWidth="1"/>
    <col min="7" max="7" width="11" bestFit="1" customWidth="1"/>
    <col min="9" max="9" width="33.5" style="775" bestFit="1" customWidth="1"/>
    <col min="10" max="10" width="11.5" style="775" bestFit="1" customWidth="1"/>
    <col min="11" max="11" width="4" customWidth="1"/>
    <col min="12" max="12" width="14.5" style="784" customWidth="1"/>
    <col min="13" max="13" width="9.5" style="784"/>
  </cols>
  <sheetData>
    <row r="3" spans="2:13" ht="15" thickBot="1"/>
    <row r="4" spans="2:13" ht="15" thickTop="1">
      <c r="B4" s="463" t="s">
        <v>54</v>
      </c>
      <c r="C4" s="608" t="s">
        <v>55</v>
      </c>
      <c r="D4" s="333" t="s">
        <v>56</v>
      </c>
      <c r="E4" s="333" t="s">
        <v>57</v>
      </c>
      <c r="F4" s="333" t="s">
        <v>156</v>
      </c>
      <c r="G4" s="333" t="s">
        <v>58</v>
      </c>
    </row>
    <row r="5" spans="2:13">
      <c r="B5" s="282">
        <v>1</v>
      </c>
      <c r="C5" s="646" t="s">
        <v>62</v>
      </c>
      <c r="D5" s="647">
        <v>343</v>
      </c>
      <c r="E5" s="647" t="s">
        <v>63</v>
      </c>
      <c r="F5" s="647">
        <v>1</v>
      </c>
      <c r="G5" s="647" t="s">
        <v>64</v>
      </c>
    </row>
    <row r="6" spans="2:13">
      <c r="B6" s="282">
        <v>2</v>
      </c>
      <c r="C6" s="646" t="s">
        <v>67</v>
      </c>
      <c r="D6" s="647">
        <v>350</v>
      </c>
      <c r="E6" s="647" t="s">
        <v>68</v>
      </c>
      <c r="F6" s="647">
        <v>1</v>
      </c>
      <c r="G6" s="647" t="s">
        <v>69</v>
      </c>
      <c r="I6" s="776" t="s">
        <v>157</v>
      </c>
      <c r="J6" s="775" t="s">
        <v>158</v>
      </c>
    </row>
    <row r="7" spans="2:13" ht="15">
      <c r="B7" s="282">
        <v>3</v>
      </c>
      <c r="C7" s="703" t="s">
        <v>72</v>
      </c>
      <c r="D7" s="647">
        <v>372</v>
      </c>
      <c r="E7" s="647" t="s">
        <v>73</v>
      </c>
      <c r="F7" s="647">
        <v>1</v>
      </c>
      <c r="G7" s="647" t="s">
        <v>69</v>
      </c>
      <c r="I7" s="777" t="s">
        <v>152</v>
      </c>
      <c r="J7" s="778">
        <v>4</v>
      </c>
      <c r="L7" s="785" t="s">
        <v>159</v>
      </c>
      <c r="M7" s="785">
        <v>44</v>
      </c>
    </row>
    <row r="8" spans="2:13" ht="15">
      <c r="B8" s="282">
        <v>4</v>
      </c>
      <c r="C8" s="703" t="s">
        <v>77</v>
      </c>
      <c r="D8" s="647">
        <v>274</v>
      </c>
      <c r="E8" s="647" t="s">
        <v>78</v>
      </c>
      <c r="F8" s="647">
        <v>1</v>
      </c>
      <c r="G8" s="647" t="s">
        <v>69</v>
      </c>
      <c r="I8" s="779" t="s">
        <v>153</v>
      </c>
      <c r="J8" s="780">
        <v>1</v>
      </c>
      <c r="L8" s="785" t="s">
        <v>160</v>
      </c>
      <c r="M8" s="785">
        <v>4</v>
      </c>
    </row>
    <row r="9" spans="2:13" ht="15">
      <c r="B9" s="282">
        <v>5</v>
      </c>
      <c r="C9" s="703" t="s">
        <v>82</v>
      </c>
      <c r="D9" s="647">
        <v>19</v>
      </c>
      <c r="E9" s="647" t="s">
        <v>83</v>
      </c>
      <c r="F9" s="647">
        <v>1</v>
      </c>
      <c r="G9" s="647" t="s">
        <v>84</v>
      </c>
      <c r="I9" s="779" t="s">
        <v>151</v>
      </c>
      <c r="J9" s="780">
        <v>1</v>
      </c>
      <c r="L9" s="785" t="s">
        <v>149</v>
      </c>
      <c r="M9" s="785">
        <v>1</v>
      </c>
    </row>
    <row r="10" spans="2:13" ht="15">
      <c r="B10" s="282">
        <v>6</v>
      </c>
      <c r="C10" s="703" t="s">
        <v>85</v>
      </c>
      <c r="D10" s="647">
        <v>212</v>
      </c>
      <c r="E10" s="647" t="s">
        <v>86</v>
      </c>
      <c r="F10" s="647">
        <v>1</v>
      </c>
      <c r="G10" s="647" t="s">
        <v>64</v>
      </c>
      <c r="I10" s="779" t="s">
        <v>161</v>
      </c>
      <c r="J10" s="780">
        <v>1</v>
      </c>
      <c r="L10" s="785" t="s">
        <v>61</v>
      </c>
      <c r="M10" s="785">
        <f>SUM(M7:M9)</f>
        <v>49</v>
      </c>
    </row>
    <row r="11" spans="2:13">
      <c r="B11" s="282">
        <v>7</v>
      </c>
      <c r="C11" s="703" t="s">
        <v>88</v>
      </c>
      <c r="D11" s="647">
        <v>232</v>
      </c>
      <c r="E11" s="647" t="s">
        <v>63</v>
      </c>
      <c r="F11" s="647">
        <v>1</v>
      </c>
      <c r="G11" s="647" t="s">
        <v>64</v>
      </c>
      <c r="I11" s="779" t="s">
        <v>162</v>
      </c>
      <c r="J11" s="780">
        <v>1</v>
      </c>
    </row>
    <row r="12" spans="2:13">
      <c r="B12" s="282">
        <v>8</v>
      </c>
      <c r="C12" s="703" t="s">
        <v>89</v>
      </c>
      <c r="D12" s="647">
        <v>15</v>
      </c>
      <c r="E12" s="647" t="s">
        <v>68</v>
      </c>
      <c r="F12" s="647">
        <v>1</v>
      </c>
      <c r="G12" s="647" t="s">
        <v>69</v>
      </c>
      <c r="I12" s="777" t="s">
        <v>83</v>
      </c>
      <c r="J12" s="778">
        <v>4</v>
      </c>
    </row>
    <row r="13" spans="2:13">
      <c r="B13" s="282">
        <v>9</v>
      </c>
      <c r="C13" s="703" t="s">
        <v>91</v>
      </c>
      <c r="D13" s="647">
        <v>354</v>
      </c>
      <c r="E13" s="647" t="s">
        <v>63</v>
      </c>
      <c r="F13" s="647">
        <v>1</v>
      </c>
      <c r="G13" s="647" t="s">
        <v>64</v>
      </c>
      <c r="I13" s="781" t="s">
        <v>82</v>
      </c>
      <c r="J13" s="775">
        <v>1</v>
      </c>
    </row>
    <row r="14" spans="2:13">
      <c r="B14" s="282">
        <v>10</v>
      </c>
      <c r="C14" s="703" t="s">
        <v>92</v>
      </c>
      <c r="D14" s="647">
        <v>311</v>
      </c>
      <c r="E14" s="647" t="s">
        <v>93</v>
      </c>
      <c r="F14" s="647">
        <v>1</v>
      </c>
      <c r="G14" s="647" t="s">
        <v>69</v>
      </c>
      <c r="I14" s="781" t="s">
        <v>96</v>
      </c>
      <c r="J14" s="775">
        <v>1</v>
      </c>
    </row>
    <row r="15" spans="2:13">
      <c r="B15" s="282">
        <v>11</v>
      </c>
      <c r="C15" s="703" t="s">
        <v>96</v>
      </c>
      <c r="D15" s="647">
        <v>224</v>
      </c>
      <c r="E15" s="647" t="s">
        <v>83</v>
      </c>
      <c r="F15" s="647">
        <v>1</v>
      </c>
      <c r="G15" s="647" t="s">
        <v>84</v>
      </c>
      <c r="I15" s="781" t="s">
        <v>126</v>
      </c>
      <c r="J15" s="775">
        <v>1</v>
      </c>
    </row>
    <row r="16" spans="2:13">
      <c r="B16" s="282">
        <v>12</v>
      </c>
      <c r="C16" s="703" t="s">
        <v>99</v>
      </c>
      <c r="D16" s="647">
        <v>329</v>
      </c>
      <c r="E16" s="647" t="s">
        <v>63</v>
      </c>
      <c r="F16" s="647">
        <v>1</v>
      </c>
      <c r="G16" s="647" t="s">
        <v>64</v>
      </c>
      <c r="I16" s="781" t="s">
        <v>143</v>
      </c>
      <c r="J16" s="775">
        <v>1</v>
      </c>
    </row>
    <row r="17" spans="2:10">
      <c r="B17" s="282">
        <v>13</v>
      </c>
      <c r="C17" s="703" t="s">
        <v>100</v>
      </c>
      <c r="D17" s="647">
        <v>331</v>
      </c>
      <c r="E17" s="647" t="s">
        <v>63</v>
      </c>
      <c r="F17" s="647">
        <v>1</v>
      </c>
      <c r="G17" s="647" t="s">
        <v>64</v>
      </c>
      <c r="I17" s="777" t="s">
        <v>86</v>
      </c>
      <c r="J17" s="778">
        <v>1</v>
      </c>
    </row>
    <row r="18" spans="2:10">
      <c r="B18" s="282">
        <v>14</v>
      </c>
      <c r="C18" s="703" t="s">
        <v>101</v>
      </c>
      <c r="D18" s="647">
        <v>296</v>
      </c>
      <c r="E18" s="647" t="s">
        <v>93</v>
      </c>
      <c r="F18" s="647">
        <v>1</v>
      </c>
      <c r="G18" s="647" t="s">
        <v>69</v>
      </c>
      <c r="I18" s="781" t="s">
        <v>85</v>
      </c>
      <c r="J18" s="775">
        <v>1</v>
      </c>
    </row>
    <row r="19" spans="2:10">
      <c r="B19" s="282">
        <v>15</v>
      </c>
      <c r="C19" s="703" t="s">
        <v>102</v>
      </c>
      <c r="D19" s="647">
        <v>320</v>
      </c>
      <c r="E19" s="647" t="s">
        <v>103</v>
      </c>
      <c r="F19" s="647">
        <v>1</v>
      </c>
      <c r="G19" s="647" t="s">
        <v>104</v>
      </c>
      <c r="I19" s="777" t="s">
        <v>149</v>
      </c>
      <c r="J19" s="778">
        <v>1</v>
      </c>
    </row>
    <row r="20" spans="2:10">
      <c r="B20" s="282">
        <v>16</v>
      </c>
      <c r="C20" s="703" t="s">
        <v>106</v>
      </c>
      <c r="D20" s="647">
        <v>344</v>
      </c>
      <c r="E20" s="647" t="s">
        <v>103</v>
      </c>
      <c r="F20" s="647">
        <v>1</v>
      </c>
      <c r="G20" s="647" t="s">
        <v>104</v>
      </c>
      <c r="I20" s="779" t="s">
        <v>148</v>
      </c>
      <c r="J20" s="780">
        <v>1</v>
      </c>
    </row>
    <row r="21" spans="2:10">
      <c r="B21" s="282">
        <v>17</v>
      </c>
      <c r="C21" s="703" t="s">
        <v>109</v>
      </c>
      <c r="D21" s="647">
        <v>226</v>
      </c>
      <c r="E21" s="647" t="s">
        <v>93</v>
      </c>
      <c r="F21" s="647">
        <v>1</v>
      </c>
      <c r="G21" s="647" t="s">
        <v>69</v>
      </c>
      <c r="I21" s="777" t="s">
        <v>68</v>
      </c>
      <c r="J21" s="778">
        <v>3</v>
      </c>
    </row>
    <row r="22" spans="2:10">
      <c r="B22" s="282">
        <v>18</v>
      </c>
      <c r="C22" s="703" t="s">
        <v>110</v>
      </c>
      <c r="D22" s="647">
        <v>208</v>
      </c>
      <c r="E22" s="647" t="s">
        <v>63</v>
      </c>
      <c r="F22" s="647">
        <v>1</v>
      </c>
      <c r="G22" s="647" t="s">
        <v>64</v>
      </c>
      <c r="I22" s="781" t="s">
        <v>67</v>
      </c>
      <c r="J22" s="775">
        <v>1</v>
      </c>
    </row>
    <row r="23" spans="2:10">
      <c r="B23" s="282">
        <v>19</v>
      </c>
      <c r="C23" s="703" t="s">
        <v>111</v>
      </c>
      <c r="D23" s="647">
        <v>336</v>
      </c>
      <c r="E23" s="647" t="s">
        <v>103</v>
      </c>
      <c r="F23" s="647">
        <v>1</v>
      </c>
      <c r="G23" s="647" t="s">
        <v>104</v>
      </c>
      <c r="I23" s="781" t="s">
        <v>89</v>
      </c>
      <c r="J23" s="775">
        <v>1</v>
      </c>
    </row>
    <row r="24" spans="2:10">
      <c r="B24" s="282">
        <v>20</v>
      </c>
      <c r="C24" s="703" t="s">
        <v>113</v>
      </c>
      <c r="D24" s="647">
        <v>875</v>
      </c>
      <c r="E24" s="647" t="s">
        <v>63</v>
      </c>
      <c r="F24" s="647">
        <v>1</v>
      </c>
      <c r="G24" s="647" t="s">
        <v>64</v>
      </c>
      <c r="I24" s="781" t="s">
        <v>114</v>
      </c>
      <c r="J24" s="775">
        <v>1</v>
      </c>
    </row>
    <row r="25" spans="2:10">
      <c r="B25" s="282">
        <v>21</v>
      </c>
      <c r="C25" s="703" t="s">
        <v>114</v>
      </c>
      <c r="D25" s="647">
        <v>308</v>
      </c>
      <c r="E25" s="647" t="s">
        <v>68</v>
      </c>
      <c r="F25" s="647">
        <v>1</v>
      </c>
      <c r="G25" s="647" t="s">
        <v>69</v>
      </c>
      <c r="I25" s="777" t="s">
        <v>136</v>
      </c>
      <c r="J25" s="778">
        <v>1</v>
      </c>
    </row>
    <row r="26" spans="2:10">
      <c r="B26" s="282">
        <v>22</v>
      </c>
      <c r="C26" s="703" t="s">
        <v>115</v>
      </c>
      <c r="D26" s="647">
        <v>229</v>
      </c>
      <c r="E26" s="647" t="s">
        <v>63</v>
      </c>
      <c r="F26" s="647">
        <v>1</v>
      </c>
      <c r="G26" s="647" t="s">
        <v>64</v>
      </c>
      <c r="I26" s="781" t="s">
        <v>135</v>
      </c>
      <c r="J26" s="775">
        <v>1</v>
      </c>
    </row>
    <row r="27" spans="2:10">
      <c r="B27" s="282">
        <v>23</v>
      </c>
      <c r="C27" s="703" t="s">
        <v>117</v>
      </c>
      <c r="D27" s="647">
        <v>357</v>
      </c>
      <c r="E27" s="647" t="s">
        <v>63</v>
      </c>
      <c r="F27" s="647">
        <v>1</v>
      </c>
      <c r="G27" s="647" t="s">
        <v>64</v>
      </c>
      <c r="I27" s="777" t="s">
        <v>133</v>
      </c>
      <c r="J27" s="778">
        <v>4</v>
      </c>
    </row>
    <row r="28" spans="2:10">
      <c r="B28" s="282">
        <v>24</v>
      </c>
      <c r="C28" s="703" t="s">
        <v>118</v>
      </c>
      <c r="D28" s="647">
        <v>219</v>
      </c>
      <c r="E28" s="647" t="s">
        <v>63</v>
      </c>
      <c r="F28" s="647">
        <v>1</v>
      </c>
      <c r="G28" s="647" t="s">
        <v>64</v>
      </c>
      <c r="I28" s="781" t="s">
        <v>128</v>
      </c>
      <c r="J28" s="775">
        <v>1</v>
      </c>
    </row>
    <row r="29" spans="2:10">
      <c r="B29" s="282">
        <v>25</v>
      </c>
      <c r="C29" s="703" t="s">
        <v>119</v>
      </c>
      <c r="D29" s="647">
        <v>275</v>
      </c>
      <c r="E29" s="647" t="s">
        <v>78</v>
      </c>
      <c r="F29" s="647">
        <v>1</v>
      </c>
      <c r="G29" s="647" t="s">
        <v>69</v>
      </c>
      <c r="I29" s="781" t="s">
        <v>132</v>
      </c>
      <c r="J29" s="775">
        <v>1</v>
      </c>
    </row>
    <row r="30" spans="2:10">
      <c r="B30" s="282">
        <v>26</v>
      </c>
      <c r="C30" s="703" t="s">
        <v>122</v>
      </c>
      <c r="D30" s="647">
        <v>298</v>
      </c>
      <c r="E30" s="647" t="s">
        <v>93</v>
      </c>
      <c r="F30" s="647">
        <v>1</v>
      </c>
      <c r="G30" s="647" t="s">
        <v>69</v>
      </c>
      <c r="I30" s="781" t="s">
        <v>138</v>
      </c>
      <c r="J30" s="775">
        <v>1</v>
      </c>
    </row>
    <row r="31" spans="2:10">
      <c r="B31" s="282">
        <v>27</v>
      </c>
      <c r="C31" s="703" t="s">
        <v>123</v>
      </c>
      <c r="D31" s="647">
        <v>181</v>
      </c>
      <c r="E31" s="647" t="s">
        <v>73</v>
      </c>
      <c r="F31" s="647">
        <v>1</v>
      </c>
      <c r="G31" s="647" t="s">
        <v>69</v>
      </c>
      <c r="I31" s="781" t="s">
        <v>140</v>
      </c>
      <c r="J31" s="775">
        <v>1</v>
      </c>
    </row>
    <row r="32" spans="2:10">
      <c r="B32" s="282">
        <v>28</v>
      </c>
      <c r="C32" s="703" t="s">
        <v>124</v>
      </c>
      <c r="D32" s="647">
        <v>272</v>
      </c>
      <c r="E32" s="647" t="s">
        <v>73</v>
      </c>
      <c r="F32" s="647">
        <v>1</v>
      </c>
      <c r="G32" s="647" t="s">
        <v>69</v>
      </c>
      <c r="I32" s="777" t="s">
        <v>103</v>
      </c>
      <c r="J32" s="778">
        <v>5</v>
      </c>
    </row>
    <row r="33" spans="2:10">
      <c r="B33" s="282">
        <v>29</v>
      </c>
      <c r="C33" s="703" t="s">
        <v>125</v>
      </c>
      <c r="D33" s="647">
        <v>371</v>
      </c>
      <c r="E33" s="647" t="s">
        <v>63</v>
      </c>
      <c r="F33" s="647">
        <v>1</v>
      </c>
      <c r="G33" s="647" t="s">
        <v>64</v>
      </c>
      <c r="I33" s="781" t="s">
        <v>102</v>
      </c>
      <c r="J33" s="775">
        <v>1</v>
      </c>
    </row>
    <row r="34" spans="2:10">
      <c r="B34" s="282">
        <v>30</v>
      </c>
      <c r="C34" s="703" t="s">
        <v>126</v>
      </c>
      <c r="D34" s="647">
        <v>73</v>
      </c>
      <c r="E34" s="647" t="s">
        <v>83</v>
      </c>
      <c r="F34" s="647">
        <v>1</v>
      </c>
      <c r="G34" s="647" t="s">
        <v>104</v>
      </c>
      <c r="I34" s="781" t="s">
        <v>106</v>
      </c>
      <c r="J34" s="775">
        <v>1</v>
      </c>
    </row>
    <row r="35" spans="2:10">
      <c r="B35" s="282">
        <v>31</v>
      </c>
      <c r="C35" s="703" t="s">
        <v>127</v>
      </c>
      <c r="D35" s="647">
        <v>362</v>
      </c>
      <c r="E35" s="647" t="s">
        <v>63</v>
      </c>
      <c r="F35" s="647">
        <v>1</v>
      </c>
      <c r="G35" s="647" t="s">
        <v>64</v>
      </c>
      <c r="I35" s="781" t="s">
        <v>111</v>
      </c>
      <c r="J35" s="775">
        <v>1</v>
      </c>
    </row>
    <row r="36" spans="2:10">
      <c r="B36" s="282">
        <v>32</v>
      </c>
      <c r="C36" s="703" t="s">
        <v>128</v>
      </c>
      <c r="D36" s="647">
        <v>153</v>
      </c>
      <c r="E36" s="647" t="s">
        <v>133</v>
      </c>
      <c r="F36" s="647">
        <v>1</v>
      </c>
      <c r="G36" s="647" t="s">
        <v>69</v>
      </c>
      <c r="I36" s="781" t="s">
        <v>163</v>
      </c>
      <c r="J36" s="775">
        <v>1</v>
      </c>
    </row>
    <row r="37" spans="2:10">
      <c r="B37" s="282">
        <v>33</v>
      </c>
      <c r="C37" s="646" t="s">
        <v>129</v>
      </c>
      <c r="D37" s="647">
        <v>314</v>
      </c>
      <c r="E37" s="647" t="s">
        <v>63</v>
      </c>
      <c r="F37" s="647">
        <v>1</v>
      </c>
      <c r="G37" s="647" t="s">
        <v>64</v>
      </c>
      <c r="I37" s="781" t="s">
        <v>144</v>
      </c>
      <c r="J37" s="775">
        <v>1</v>
      </c>
    </row>
    <row r="38" spans="2:10">
      <c r="B38" s="282">
        <v>34</v>
      </c>
      <c r="C38" s="646" t="s">
        <v>130</v>
      </c>
      <c r="D38" s="647">
        <v>303</v>
      </c>
      <c r="E38" s="647" t="s">
        <v>131</v>
      </c>
      <c r="F38" s="647">
        <v>1</v>
      </c>
      <c r="G38" s="647" t="s">
        <v>104</v>
      </c>
      <c r="I38" s="777" t="s">
        <v>73</v>
      </c>
      <c r="J38" s="778">
        <v>3</v>
      </c>
    </row>
    <row r="39" spans="2:10">
      <c r="B39" s="282">
        <v>35</v>
      </c>
      <c r="C39" s="646" t="s">
        <v>132</v>
      </c>
      <c r="D39" s="647">
        <v>171</v>
      </c>
      <c r="E39" s="647" t="s">
        <v>133</v>
      </c>
      <c r="F39" s="647">
        <v>1</v>
      </c>
      <c r="G39" s="647" t="s">
        <v>64</v>
      </c>
      <c r="I39" s="781" t="s">
        <v>72</v>
      </c>
      <c r="J39" s="775">
        <v>1</v>
      </c>
    </row>
    <row r="40" spans="2:10">
      <c r="B40" s="282">
        <v>36</v>
      </c>
      <c r="C40" s="646" t="s">
        <v>135</v>
      </c>
      <c r="D40" s="647">
        <v>16</v>
      </c>
      <c r="E40" s="647" t="s">
        <v>136</v>
      </c>
      <c r="F40" s="647">
        <v>1</v>
      </c>
      <c r="G40" s="647" t="s">
        <v>84</v>
      </c>
      <c r="I40" s="781" t="s">
        <v>123</v>
      </c>
      <c r="J40" s="775">
        <v>1</v>
      </c>
    </row>
    <row r="41" spans="2:10">
      <c r="B41" s="282">
        <v>37</v>
      </c>
      <c r="C41" s="646" t="s">
        <v>138</v>
      </c>
      <c r="D41" s="647">
        <v>70</v>
      </c>
      <c r="E41" s="647" t="s">
        <v>133</v>
      </c>
      <c r="F41" s="647">
        <v>1</v>
      </c>
      <c r="G41" s="647" t="s">
        <v>64</v>
      </c>
      <c r="I41" s="781" t="s">
        <v>124</v>
      </c>
      <c r="J41" s="775">
        <v>1</v>
      </c>
    </row>
    <row r="42" spans="2:10">
      <c r="B42" s="282">
        <v>38</v>
      </c>
      <c r="C42" s="648" t="s">
        <v>163</v>
      </c>
      <c r="D42" s="649">
        <v>359</v>
      </c>
      <c r="E42" s="649" t="s">
        <v>103</v>
      </c>
      <c r="F42" s="647">
        <v>1</v>
      </c>
      <c r="G42" s="649" t="s">
        <v>104</v>
      </c>
      <c r="I42" s="777" t="s">
        <v>63</v>
      </c>
      <c r="J42" s="778">
        <v>15</v>
      </c>
    </row>
    <row r="43" spans="2:10">
      <c r="B43" s="282">
        <v>39</v>
      </c>
      <c r="C43" s="648" t="s">
        <v>140</v>
      </c>
      <c r="D43" s="649">
        <v>47</v>
      </c>
      <c r="E43" s="649" t="s">
        <v>133</v>
      </c>
      <c r="F43" s="647">
        <v>1</v>
      </c>
      <c r="G43" s="649" t="s">
        <v>64</v>
      </c>
      <c r="I43" s="781" t="s">
        <v>62</v>
      </c>
      <c r="J43" s="775">
        <v>1</v>
      </c>
    </row>
    <row r="44" spans="2:10">
      <c r="B44" s="282">
        <v>40</v>
      </c>
      <c r="C44" s="648" t="s">
        <v>142</v>
      </c>
      <c r="D44" s="649">
        <v>355</v>
      </c>
      <c r="E44" s="649" t="s">
        <v>63</v>
      </c>
      <c r="F44" s="647">
        <v>1</v>
      </c>
      <c r="G44" s="649" t="s">
        <v>64</v>
      </c>
      <c r="I44" s="781" t="s">
        <v>88</v>
      </c>
      <c r="J44" s="775">
        <v>1</v>
      </c>
    </row>
    <row r="45" spans="2:10">
      <c r="B45" s="282">
        <v>41</v>
      </c>
      <c r="C45" s="648" t="s">
        <v>143</v>
      </c>
      <c r="D45" s="649">
        <v>105</v>
      </c>
      <c r="E45" s="649" t="s">
        <v>83</v>
      </c>
      <c r="F45" s="647">
        <v>1</v>
      </c>
      <c r="G45" s="649" t="s">
        <v>69</v>
      </c>
      <c r="I45" s="781" t="s">
        <v>91</v>
      </c>
      <c r="J45" s="775">
        <v>1</v>
      </c>
    </row>
    <row r="46" spans="2:10">
      <c r="B46" s="282">
        <v>42</v>
      </c>
      <c r="C46" s="646" t="s">
        <v>144</v>
      </c>
      <c r="D46" s="647">
        <v>318</v>
      </c>
      <c r="E46" s="647" t="s">
        <v>103</v>
      </c>
      <c r="F46" s="647">
        <v>1</v>
      </c>
      <c r="G46" s="647" t="s">
        <v>104</v>
      </c>
      <c r="I46" s="781" t="s">
        <v>99</v>
      </c>
      <c r="J46" s="775">
        <v>1</v>
      </c>
    </row>
    <row r="47" spans="2:10">
      <c r="B47" s="282">
        <v>43</v>
      </c>
      <c r="C47" s="646" t="s">
        <v>145</v>
      </c>
      <c r="D47" s="647">
        <v>304</v>
      </c>
      <c r="E47" s="647" t="s">
        <v>63</v>
      </c>
      <c r="F47" s="647">
        <v>1</v>
      </c>
      <c r="G47" s="647" t="s">
        <v>64</v>
      </c>
      <c r="I47" s="781" t="s">
        <v>100</v>
      </c>
      <c r="J47" s="775">
        <v>1</v>
      </c>
    </row>
    <row r="48" spans="2:10" ht="15" thickBot="1">
      <c r="B48" s="282">
        <v>44</v>
      </c>
      <c r="C48" s="648" t="s">
        <v>146</v>
      </c>
      <c r="D48" s="649">
        <v>149</v>
      </c>
      <c r="E48" s="649" t="s">
        <v>147</v>
      </c>
      <c r="F48" s="647">
        <v>1</v>
      </c>
      <c r="G48" s="649" t="s">
        <v>64</v>
      </c>
      <c r="I48" s="781" t="s">
        <v>110</v>
      </c>
      <c r="J48" s="775">
        <v>1</v>
      </c>
    </row>
    <row r="49" spans="2:10" ht="15" thickTop="1">
      <c r="B49" s="774">
        <v>45</v>
      </c>
      <c r="C49" s="650" t="s">
        <v>148</v>
      </c>
      <c r="D49" s="651" t="s">
        <v>149</v>
      </c>
      <c r="E49" s="651" t="s">
        <v>149</v>
      </c>
      <c r="F49" s="647">
        <v>1</v>
      </c>
      <c r="G49" s="651" t="s">
        <v>104</v>
      </c>
      <c r="I49" s="781" t="s">
        <v>113</v>
      </c>
      <c r="J49" s="775">
        <v>1</v>
      </c>
    </row>
    <row r="50" spans="2:10">
      <c r="B50" s="774">
        <v>46</v>
      </c>
      <c r="C50" s="652" t="s">
        <v>151</v>
      </c>
      <c r="D50" s="653" t="s">
        <v>152</v>
      </c>
      <c r="E50" s="653" t="s">
        <v>152</v>
      </c>
      <c r="F50" s="647">
        <v>1</v>
      </c>
      <c r="G50" s="653" t="s">
        <v>64</v>
      </c>
      <c r="I50" s="781" t="s">
        <v>115</v>
      </c>
      <c r="J50" s="775">
        <v>1</v>
      </c>
    </row>
    <row r="51" spans="2:10">
      <c r="B51" s="774">
        <v>47</v>
      </c>
      <c r="C51" s="652" t="s">
        <v>153</v>
      </c>
      <c r="D51" s="653" t="s">
        <v>152</v>
      </c>
      <c r="E51" s="653" t="s">
        <v>152</v>
      </c>
      <c r="F51" s="647">
        <v>1</v>
      </c>
      <c r="G51" s="653" t="s">
        <v>64</v>
      </c>
      <c r="I51" s="781" t="s">
        <v>117</v>
      </c>
      <c r="J51" s="775">
        <v>1</v>
      </c>
    </row>
    <row r="52" spans="2:10">
      <c r="B52" s="774">
        <v>48</v>
      </c>
      <c r="C52" s="654" t="s">
        <v>161</v>
      </c>
      <c r="D52" s="655" t="s">
        <v>152</v>
      </c>
      <c r="E52" s="653" t="s">
        <v>152</v>
      </c>
      <c r="F52" s="647">
        <v>1</v>
      </c>
      <c r="G52" s="655" t="s">
        <v>64</v>
      </c>
      <c r="I52" s="781" t="s">
        <v>118</v>
      </c>
      <c r="J52" s="775">
        <v>1</v>
      </c>
    </row>
    <row r="53" spans="2:10" ht="15" thickBot="1">
      <c r="B53" s="774">
        <v>49</v>
      </c>
      <c r="C53" s="656" t="s">
        <v>162</v>
      </c>
      <c r="D53" s="657" t="s">
        <v>152</v>
      </c>
      <c r="E53" s="653" t="s">
        <v>152</v>
      </c>
      <c r="F53" s="647">
        <v>1</v>
      </c>
      <c r="G53" s="657" t="s">
        <v>64</v>
      </c>
      <c r="I53" s="781" t="s">
        <v>125</v>
      </c>
      <c r="J53" s="775">
        <v>1</v>
      </c>
    </row>
    <row r="54" spans="2:10" ht="15" thickTop="1">
      <c r="I54" s="781" t="s">
        <v>127</v>
      </c>
      <c r="J54" s="775">
        <v>1</v>
      </c>
    </row>
    <row r="55" spans="2:10">
      <c r="I55" s="781" t="s">
        <v>129</v>
      </c>
      <c r="J55" s="775">
        <v>1</v>
      </c>
    </row>
    <row r="56" spans="2:10">
      <c r="I56" s="781" t="s">
        <v>142</v>
      </c>
      <c r="J56" s="775">
        <v>1</v>
      </c>
    </row>
    <row r="57" spans="2:10">
      <c r="I57" s="781" t="s">
        <v>145</v>
      </c>
      <c r="J57" s="775">
        <v>1</v>
      </c>
    </row>
    <row r="58" spans="2:10">
      <c r="I58" s="777" t="s">
        <v>147</v>
      </c>
      <c r="J58" s="778">
        <v>1</v>
      </c>
    </row>
    <row r="59" spans="2:10">
      <c r="I59" s="781" t="s">
        <v>146</v>
      </c>
      <c r="J59" s="775">
        <v>1</v>
      </c>
    </row>
    <row r="60" spans="2:10">
      <c r="I60" s="777" t="s">
        <v>93</v>
      </c>
      <c r="J60" s="778">
        <v>4</v>
      </c>
    </row>
    <row r="61" spans="2:10">
      <c r="I61" s="781" t="s">
        <v>92</v>
      </c>
      <c r="J61" s="775">
        <v>1</v>
      </c>
    </row>
    <row r="62" spans="2:10">
      <c r="I62" s="781" t="s">
        <v>101</v>
      </c>
      <c r="J62" s="775">
        <v>1</v>
      </c>
    </row>
    <row r="63" spans="2:10">
      <c r="I63" s="781" t="s">
        <v>109</v>
      </c>
      <c r="J63" s="775">
        <v>1</v>
      </c>
    </row>
    <row r="64" spans="2:10">
      <c r="I64" s="781" t="s">
        <v>122</v>
      </c>
      <c r="J64" s="775">
        <v>1</v>
      </c>
    </row>
    <row r="65" spans="9:10">
      <c r="I65" s="777" t="s">
        <v>78</v>
      </c>
      <c r="J65" s="778">
        <v>2</v>
      </c>
    </row>
    <row r="66" spans="9:10">
      <c r="I66" s="781" t="s">
        <v>77</v>
      </c>
      <c r="J66" s="775">
        <v>1</v>
      </c>
    </row>
    <row r="67" spans="9:10">
      <c r="I67" s="781" t="s">
        <v>119</v>
      </c>
      <c r="J67" s="775">
        <v>1</v>
      </c>
    </row>
    <row r="68" spans="9:10">
      <c r="I68" s="777" t="s">
        <v>131</v>
      </c>
      <c r="J68" s="778">
        <v>1</v>
      </c>
    </row>
    <row r="69" spans="9:10">
      <c r="I69" s="781" t="s">
        <v>130</v>
      </c>
      <c r="J69" s="775">
        <v>1</v>
      </c>
    </row>
    <row r="70" spans="9:10">
      <c r="I70" s="782" t="s">
        <v>164</v>
      </c>
      <c r="J70" s="775">
        <v>49</v>
      </c>
    </row>
    <row r="71" spans="9:10">
      <c r="I71" s="783"/>
      <c r="J71" s="783"/>
    </row>
    <row r="72" spans="9:10">
      <c r="I72" s="783"/>
      <c r="J72" s="783"/>
    </row>
    <row r="73" spans="9:10">
      <c r="I73" s="783"/>
      <c r="J73" s="783"/>
    </row>
    <row r="74" spans="9:10">
      <c r="I74" s="783"/>
      <c r="J74" s="783"/>
    </row>
    <row r="75" spans="9:10">
      <c r="I75" s="783"/>
      <c r="J75" s="783"/>
    </row>
    <row r="76" spans="9:10">
      <c r="I76" s="783"/>
      <c r="J76" s="783"/>
    </row>
    <row r="77" spans="9:10">
      <c r="I77" s="783"/>
      <c r="J77" s="783"/>
    </row>
    <row r="78" spans="9:10">
      <c r="I78" s="783"/>
      <c r="J78" s="783"/>
    </row>
    <row r="79" spans="9:10">
      <c r="I79" s="783"/>
      <c r="J79" s="783"/>
    </row>
    <row r="80" spans="9:10">
      <c r="I80" s="783"/>
      <c r="J80" s="783"/>
    </row>
    <row r="81" spans="9:10">
      <c r="I81" s="783"/>
      <c r="J81" s="783"/>
    </row>
    <row r="82" spans="9:10">
      <c r="I82" s="783"/>
      <c r="J82" s="783"/>
    </row>
    <row r="83" spans="9:10">
      <c r="I83" s="783"/>
      <c r="J83" s="783"/>
    </row>
    <row r="84" spans="9:10">
      <c r="I84" s="783"/>
      <c r="J84" s="783"/>
    </row>
    <row r="85" spans="9:10">
      <c r="I85" s="783"/>
      <c r="J85" s="783"/>
    </row>
    <row r="86" spans="9:10">
      <c r="I86" s="783"/>
      <c r="J86" s="783"/>
    </row>
    <row r="87" spans="9:10">
      <c r="I87" s="783"/>
      <c r="J87" s="783"/>
    </row>
    <row r="88" spans="9:10">
      <c r="I88" s="783"/>
      <c r="J88" s="783"/>
    </row>
    <row r="89" spans="9:10">
      <c r="I89" s="783"/>
      <c r="J89" s="783"/>
    </row>
    <row r="90" spans="9:10">
      <c r="I90" s="783"/>
      <c r="J90" s="783"/>
    </row>
    <row r="91" spans="9:10">
      <c r="I91" s="783"/>
      <c r="J91" s="783"/>
    </row>
    <row r="92" spans="9:10">
      <c r="I92" s="783"/>
      <c r="J92" s="783"/>
    </row>
    <row r="93" spans="9:10">
      <c r="I93" s="783"/>
      <c r="J93" s="783"/>
    </row>
    <row r="94" spans="9:10">
      <c r="I94" s="783"/>
      <c r="J94" s="783"/>
    </row>
    <row r="95" spans="9:10">
      <c r="I95" s="783"/>
      <c r="J95" s="783"/>
    </row>
    <row r="96" spans="9:10">
      <c r="I96" s="783"/>
      <c r="J96" s="783"/>
    </row>
    <row r="97" spans="9:10">
      <c r="I97" s="783"/>
      <c r="J97" s="783"/>
    </row>
    <row r="98" spans="9:10">
      <c r="I98" s="783"/>
      <c r="J98" s="783"/>
    </row>
    <row r="99" spans="9:10">
      <c r="I99" s="783"/>
      <c r="J99" s="783"/>
    </row>
    <row r="100" spans="9:10">
      <c r="I100" s="783"/>
      <c r="J100" s="783"/>
    </row>
    <row r="101" spans="9:10">
      <c r="I101" s="783"/>
      <c r="J101" s="783"/>
    </row>
    <row r="102" spans="9:10">
      <c r="I102" s="783"/>
      <c r="J102" s="783"/>
    </row>
    <row r="103" spans="9:10">
      <c r="I103" s="783"/>
      <c r="J103" s="783"/>
    </row>
    <row r="104" spans="9:10">
      <c r="I104" s="783"/>
      <c r="J104" s="783"/>
    </row>
    <row r="105" spans="9:10">
      <c r="I105" s="783"/>
      <c r="J105" s="783"/>
    </row>
    <row r="106" spans="9:10">
      <c r="I106" s="783"/>
      <c r="J106" s="783"/>
    </row>
    <row r="107" spans="9:10">
      <c r="I107" s="783"/>
      <c r="J107" s="783"/>
    </row>
    <row r="108" spans="9:10">
      <c r="I108" s="783"/>
      <c r="J108" s="783"/>
    </row>
    <row r="109" spans="9:10">
      <c r="I109" s="783"/>
      <c r="J109" s="783"/>
    </row>
    <row r="110" spans="9:10">
      <c r="I110" s="783"/>
      <c r="J110" s="783"/>
    </row>
    <row r="111" spans="9:10">
      <c r="I111" s="783"/>
      <c r="J111" s="783"/>
    </row>
    <row r="112" spans="9:10">
      <c r="I112" s="783"/>
      <c r="J112" s="783"/>
    </row>
    <row r="113" spans="9:10">
      <c r="I113" s="783"/>
      <c r="J113" s="783"/>
    </row>
    <row r="114" spans="9:10">
      <c r="I114" s="783"/>
      <c r="J114" s="783"/>
    </row>
    <row r="115" spans="9:10">
      <c r="I115" s="783"/>
      <c r="J115" s="783"/>
    </row>
    <row r="116" spans="9:10">
      <c r="I116" s="783"/>
      <c r="J116" s="783"/>
    </row>
    <row r="117" spans="9:10">
      <c r="I117" s="783"/>
      <c r="J117" s="783"/>
    </row>
    <row r="118" spans="9:10">
      <c r="I118" s="783"/>
      <c r="J118" s="783"/>
    </row>
    <row r="119" spans="9:10">
      <c r="I119" s="783"/>
      <c r="J119" s="78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EC64-3D9F-464B-93AF-FF03FC0672B8}">
  <sheetPr codeName="Planilha4">
    <tabColor rgb="FFC00000"/>
  </sheetPr>
  <dimension ref="A1:AE48"/>
  <sheetViews>
    <sheetView showGridLines="0" zoomScale="70" zoomScaleNormal="70" workbookViewId="0">
      <pane ySplit="5" topLeftCell="A6" activePane="bottomLeft" state="frozen"/>
      <selection pane="bottomLeft" activeCell="V22" sqref="V22"/>
    </sheetView>
  </sheetViews>
  <sheetFormatPr defaultColWidth="9.5" defaultRowHeight="15"/>
  <cols>
    <col min="1" max="1" width="2.5" style="83" customWidth="1"/>
    <col min="2" max="2" width="47.5" style="475" bestFit="1" customWidth="1"/>
    <col min="3" max="3" width="4.5" style="86" customWidth="1"/>
    <col min="4" max="4" width="17" style="90" hidden="1" customWidth="1"/>
    <col min="5" max="5" width="10.5" style="86" hidden="1" customWidth="1"/>
    <col min="6" max="6" width="13.5" style="90" customWidth="1"/>
    <col min="7" max="7" width="20.5" style="90" customWidth="1"/>
    <col min="8" max="8" width="2.5" style="478" customWidth="1"/>
    <col min="9" max="9" width="26.5" style="90" customWidth="1"/>
    <col min="10" max="10" width="24.5" style="90" customWidth="1"/>
    <col min="11" max="11" width="27.5" style="430" customWidth="1"/>
    <col min="12" max="12" width="22.5" style="90" customWidth="1"/>
    <col min="13" max="13" width="20.5" style="90" hidden="1" customWidth="1"/>
    <col min="14" max="14" width="16.5" style="90" hidden="1" customWidth="1"/>
    <col min="15" max="16" width="15.5" style="90" hidden="1" customWidth="1"/>
    <col min="17" max="17" width="2.5" style="90" hidden="1" customWidth="1"/>
    <col min="18" max="18" width="11.5" style="90" hidden="1" customWidth="1"/>
    <col min="19" max="19" width="17.5" style="90" hidden="1" customWidth="1"/>
    <col min="20" max="20" width="14.5" style="90" hidden="1" customWidth="1"/>
    <col min="21" max="21" width="13.5" style="90" hidden="1" customWidth="1"/>
    <col min="22" max="22" width="4.5" style="83" customWidth="1"/>
    <col min="23" max="23" width="25.5" style="88" customWidth="1"/>
    <col min="24" max="24" width="24" style="88" customWidth="1"/>
    <col min="25" max="25" width="22.5" style="88" customWidth="1"/>
    <col min="26" max="26" width="3.5" style="83" customWidth="1"/>
    <col min="27" max="28" width="20.5" style="83" customWidth="1"/>
    <col min="29" max="29" width="25" style="83" customWidth="1"/>
    <col min="30" max="30" width="13.5" style="83" customWidth="1"/>
    <col min="31" max="31" width="25.5" style="83" customWidth="1"/>
    <col min="32" max="35" width="9.5" style="83" bestFit="1" customWidth="1"/>
    <col min="36" max="36" width="68.5" style="83" customWidth="1"/>
    <col min="37" max="38" width="9.5" style="83" bestFit="1" customWidth="1"/>
    <col min="39" max="16384" width="9.5" style="83"/>
  </cols>
  <sheetData>
    <row r="1" spans="1:31" s="32" customFormat="1" ht="30.75" customHeight="1" thickTop="1">
      <c r="B1" s="558">
        <f ca="1">TODAY()</f>
        <v>46309</v>
      </c>
      <c r="C1" s="482"/>
      <c r="D1" s="483"/>
      <c r="E1" s="482"/>
      <c r="F1" s="483"/>
      <c r="G1" s="483"/>
      <c r="H1" s="484"/>
      <c r="I1" s="485" t="s">
        <v>165</v>
      </c>
      <c r="J1" s="486" t="s">
        <v>166</v>
      </c>
      <c r="K1" s="487" t="s">
        <v>167</v>
      </c>
      <c r="L1" s="488" t="s">
        <v>168</v>
      </c>
      <c r="N1" s="483"/>
      <c r="O1" s="483"/>
      <c r="P1" s="483"/>
      <c r="Q1" s="483"/>
      <c r="R1" s="483"/>
      <c r="S1" s="483"/>
      <c r="T1" s="483"/>
      <c r="U1" s="483"/>
      <c r="W1" s="489"/>
      <c r="X1" s="489"/>
      <c r="Y1" s="489"/>
    </row>
    <row r="2" spans="1:31" s="85" customFormat="1" ht="33.75">
      <c r="B2" s="905" t="s">
        <v>169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905"/>
      <c r="Q2" s="905"/>
      <c r="R2" s="905"/>
      <c r="S2" s="905"/>
      <c r="T2" s="905"/>
      <c r="U2" s="905"/>
      <c r="V2" s="905"/>
      <c r="W2" s="905"/>
      <c r="X2" s="905"/>
      <c r="Y2" s="905"/>
      <c r="Z2" s="905"/>
      <c r="AA2" s="905"/>
    </row>
    <row r="3" spans="1:31" s="85" customFormat="1" ht="36.75" customHeight="1" thickBot="1">
      <c r="B3" s="469"/>
      <c r="C3" s="40"/>
      <c r="D3" s="292" t="s">
        <v>170</v>
      </c>
      <c r="E3" s="232"/>
      <c r="F3" s="906" t="s">
        <v>171</v>
      </c>
      <c r="G3" s="907"/>
      <c r="H3" s="40"/>
      <c r="I3" s="908" t="s">
        <v>172</v>
      </c>
      <c r="J3" s="909"/>
      <c r="K3" s="909"/>
      <c r="L3" s="910"/>
      <c r="M3" s="911" t="s">
        <v>173</v>
      </c>
      <c r="N3" s="912"/>
      <c r="O3" s="912"/>
      <c r="P3" s="913"/>
      <c r="Q3" s="40"/>
      <c r="R3" s="914" t="s">
        <v>174</v>
      </c>
      <c r="S3" s="915"/>
      <c r="T3" s="915"/>
      <c r="U3" s="916"/>
      <c r="V3" s="40"/>
      <c r="W3" s="917" t="s">
        <v>175</v>
      </c>
      <c r="X3" s="917"/>
      <c r="Y3" s="917"/>
      <c r="Z3" s="917"/>
      <c r="AA3" s="917"/>
    </row>
    <row r="4" spans="1:31" s="42" customFormat="1" ht="15.75" customHeight="1" thickTop="1" thickBot="1">
      <c r="B4" s="470"/>
      <c r="D4" s="918" t="s">
        <v>176</v>
      </c>
      <c r="E4" s="228"/>
      <c r="F4" s="293" t="s">
        <v>171</v>
      </c>
      <c r="G4" s="293" t="s">
        <v>171</v>
      </c>
      <c r="H4" s="47"/>
      <c r="I4" s="295" t="s">
        <v>177</v>
      </c>
      <c r="J4" s="294" t="s">
        <v>178</v>
      </c>
      <c r="K4" s="425" t="s">
        <v>179</v>
      </c>
      <c r="L4" s="295" t="s">
        <v>180</v>
      </c>
      <c r="M4" s="296" t="s">
        <v>179</v>
      </c>
      <c r="N4" s="294" t="s">
        <v>179</v>
      </c>
      <c r="O4" s="294" t="s">
        <v>179</v>
      </c>
      <c r="P4" s="294" t="s">
        <v>180</v>
      </c>
      <c r="R4" s="249" t="s">
        <v>181</v>
      </c>
      <c r="S4" s="294" t="s">
        <v>179</v>
      </c>
      <c r="T4" s="294" t="s">
        <v>179</v>
      </c>
      <c r="U4" s="581" t="s">
        <v>181</v>
      </c>
      <c r="W4" s="297" t="s">
        <v>182</v>
      </c>
      <c r="X4" s="293" t="s">
        <v>183</v>
      </c>
      <c r="Y4" s="294" t="s">
        <v>184</v>
      </c>
      <c r="AA4" s="320" t="s">
        <v>185</v>
      </c>
    </row>
    <row r="5" spans="1:31" s="85" customFormat="1" ht="15.75" customHeight="1" thickTop="1" thickBot="1">
      <c r="B5" s="471" t="s">
        <v>186</v>
      </c>
      <c r="C5" s="246"/>
      <c r="D5" s="919"/>
      <c r="E5" s="136"/>
      <c r="F5" s="449" t="s">
        <v>187</v>
      </c>
      <c r="G5" s="449" t="s">
        <v>188</v>
      </c>
      <c r="H5" s="477"/>
      <c r="I5" s="301" t="s">
        <v>95</v>
      </c>
      <c r="J5" s="298" t="s">
        <v>23</v>
      </c>
      <c r="K5" s="426" t="s">
        <v>189</v>
      </c>
      <c r="L5" s="301" t="s">
        <v>190</v>
      </c>
      <c r="M5" s="302" t="s">
        <v>191</v>
      </c>
      <c r="N5" s="298" t="s">
        <v>192</v>
      </c>
      <c r="O5" s="298" t="s">
        <v>171</v>
      </c>
      <c r="P5" s="298" t="s">
        <v>190</v>
      </c>
      <c r="Q5" s="42"/>
      <c r="R5" s="248" t="s">
        <v>193</v>
      </c>
      <c r="S5" s="298" t="s">
        <v>192</v>
      </c>
      <c r="T5" s="298" t="s">
        <v>171</v>
      </c>
      <c r="U5" s="582" t="s">
        <v>194</v>
      </c>
      <c r="V5" s="42"/>
      <c r="W5" s="322" t="s">
        <v>195</v>
      </c>
      <c r="X5" s="322" t="s">
        <v>196</v>
      </c>
      <c r="Y5" s="323" t="s">
        <v>197</v>
      </c>
      <c r="AA5" s="321" t="s">
        <v>198</v>
      </c>
    </row>
    <row r="6" spans="1:31" s="85" customFormat="1" ht="20.25" customHeight="1" thickTop="1" thickBot="1">
      <c r="B6" s="472"/>
      <c r="C6" s="246"/>
      <c r="D6" s="47"/>
      <c r="E6" s="136"/>
      <c r="F6" s="119"/>
      <c r="G6" s="119"/>
      <c r="H6" s="477"/>
      <c r="I6" s="228"/>
      <c r="J6" s="228"/>
      <c r="K6" s="438"/>
      <c r="L6" s="42"/>
      <c r="M6" s="228"/>
      <c r="N6" s="228"/>
      <c r="O6" s="304"/>
      <c r="P6" s="42"/>
      <c r="Q6" s="42"/>
      <c r="R6" s="228"/>
      <c r="S6" s="228"/>
      <c r="T6" s="303"/>
      <c r="U6" s="228"/>
      <c r="V6" s="42"/>
      <c r="W6" s="42"/>
      <c r="X6" s="42"/>
      <c r="Y6" s="42"/>
      <c r="AA6" s="42"/>
    </row>
    <row r="7" spans="1:31" s="338" customFormat="1" ht="18.75" thickTop="1">
      <c r="B7" s="663">
        <v>46204</v>
      </c>
      <c r="C7" s="342"/>
      <c r="D7" s="664"/>
      <c r="E7" s="343"/>
      <c r="F7" s="465"/>
      <c r="G7" s="346"/>
      <c r="H7" s="466"/>
      <c r="I7" s="346"/>
      <c r="J7" s="346"/>
      <c r="K7" s="346"/>
      <c r="L7" s="686"/>
      <c r="M7" s="465"/>
      <c r="N7" s="465"/>
      <c r="O7" s="346"/>
      <c r="P7" s="418"/>
      <c r="Q7" s="348"/>
      <c r="R7" s="465"/>
      <c r="S7" s="465"/>
      <c r="T7" s="346"/>
      <c r="U7" s="665"/>
      <c r="V7" s="583"/>
      <c r="W7" s="351"/>
      <c r="X7" s="351"/>
      <c r="Y7" s="666"/>
      <c r="Z7" s="423"/>
      <c r="AA7" s="666"/>
    </row>
    <row r="8" spans="1:31" s="338" customFormat="1" ht="18">
      <c r="B8" s="659">
        <v>46205</v>
      </c>
      <c r="C8" s="342"/>
      <c r="D8" s="464"/>
      <c r="E8" s="343"/>
      <c r="F8" s="467"/>
      <c r="G8" s="357"/>
      <c r="H8" s="466"/>
      <c r="I8" s="357"/>
      <c r="J8" s="357"/>
      <c r="K8" s="357"/>
      <c r="L8" s="687"/>
      <c r="M8" s="467"/>
      <c r="N8" s="467"/>
      <c r="O8" s="357"/>
      <c r="P8" s="419"/>
      <c r="Q8" s="348"/>
      <c r="R8" s="467"/>
      <c r="S8" s="467"/>
      <c r="T8" s="357"/>
      <c r="U8" s="661"/>
      <c r="V8" s="583"/>
      <c r="W8" s="361"/>
      <c r="X8" s="361"/>
      <c r="Y8" s="468"/>
      <c r="Z8" s="423"/>
      <c r="AA8" s="468"/>
      <c r="AC8" s="310"/>
      <c r="AD8" s="310"/>
      <c r="AE8" s="310"/>
    </row>
    <row r="9" spans="1:31" s="338" customFormat="1" ht="18">
      <c r="B9" s="659">
        <v>46206</v>
      </c>
      <c r="C9" s="342"/>
      <c r="D9" s="464"/>
      <c r="E9" s="343"/>
      <c r="F9" s="467"/>
      <c r="G9" s="357"/>
      <c r="H9" s="466"/>
      <c r="I9" s="357"/>
      <c r="J9" s="357"/>
      <c r="K9" s="357"/>
      <c r="L9" s="687"/>
      <c r="M9" s="467"/>
      <c r="N9" s="467"/>
      <c r="O9" s="357"/>
      <c r="P9" s="419"/>
      <c r="Q9" s="348"/>
      <c r="R9" s="467"/>
      <c r="S9" s="467"/>
      <c r="T9" s="357"/>
      <c r="U9" s="661"/>
      <c r="V9" s="658"/>
      <c r="W9" s="361"/>
      <c r="X9" s="361"/>
      <c r="Y9" s="468"/>
      <c r="Z9" s="423"/>
      <c r="AA9" s="468"/>
      <c r="AC9" s="310"/>
      <c r="AD9" s="310"/>
      <c r="AE9" s="310"/>
    </row>
    <row r="10" spans="1:31" s="367" customFormat="1" ht="18">
      <c r="B10" s="659">
        <v>46207</v>
      </c>
      <c r="C10" s="342"/>
      <c r="D10" s="464"/>
      <c r="E10" s="343"/>
      <c r="F10" s="467"/>
      <c r="G10" s="357"/>
      <c r="H10" s="643"/>
      <c r="I10" s="660"/>
      <c r="J10" s="357"/>
      <c r="K10" s="357"/>
      <c r="L10" s="688"/>
      <c r="M10" s="467"/>
      <c r="N10" s="467"/>
      <c r="O10" s="357"/>
      <c r="P10" s="419"/>
      <c r="Q10" s="348"/>
      <c r="R10" s="467"/>
      <c r="S10" s="467"/>
      <c r="T10" s="357"/>
      <c r="U10" s="661"/>
      <c r="V10" s="658"/>
      <c r="W10" s="361"/>
      <c r="X10" s="361"/>
      <c r="Y10" s="468"/>
      <c r="Z10" s="662"/>
      <c r="AA10" s="468"/>
      <c r="AC10" s="85"/>
      <c r="AD10" s="85"/>
      <c r="AE10" s="85"/>
    </row>
    <row r="11" spans="1:31" s="367" customFormat="1" ht="18">
      <c r="B11" s="659">
        <v>46208</v>
      </c>
      <c r="C11" s="342"/>
      <c r="D11" s="464"/>
      <c r="E11" s="343"/>
      <c r="F11" s="705"/>
      <c r="G11" s="660"/>
      <c r="H11" s="643"/>
      <c r="I11" s="660"/>
      <c r="J11" s="660"/>
      <c r="K11" s="660"/>
      <c r="L11" s="688"/>
      <c r="M11" s="467"/>
      <c r="N11" s="467"/>
      <c r="O11" s="357"/>
      <c r="P11" s="419"/>
      <c r="Q11" s="348"/>
      <c r="R11" s="467"/>
      <c r="S11" s="467"/>
      <c r="T11" s="357"/>
      <c r="U11" s="661"/>
      <c r="V11" s="658"/>
      <c r="W11" s="361"/>
      <c r="X11" s="361"/>
      <c r="Y11" s="468"/>
      <c r="Z11" s="662"/>
      <c r="AA11" s="468"/>
      <c r="AC11" s="85"/>
      <c r="AD11" s="85"/>
      <c r="AE11" s="85"/>
    </row>
    <row r="12" spans="1:31" s="367" customFormat="1" ht="18">
      <c r="B12" s="659">
        <v>46209</v>
      </c>
      <c r="C12" s="342"/>
      <c r="D12" s="464"/>
      <c r="E12" s="343"/>
      <c r="F12" s="705"/>
      <c r="G12" s="660"/>
      <c r="H12" s="643"/>
      <c r="I12" s="660"/>
      <c r="J12" s="660"/>
      <c r="K12" s="660"/>
      <c r="L12" s="688"/>
      <c r="M12" s="467"/>
      <c r="N12" s="467"/>
      <c r="O12" s="357"/>
      <c r="P12" s="419"/>
      <c r="Q12" s="348"/>
      <c r="R12" s="467"/>
      <c r="S12" s="467"/>
      <c r="T12" s="357"/>
      <c r="U12" s="661"/>
      <c r="V12" s="658"/>
      <c r="W12" s="361"/>
      <c r="X12" s="361"/>
      <c r="Y12" s="468"/>
      <c r="Z12" s="662"/>
      <c r="AA12" s="468"/>
      <c r="AC12" s="85"/>
      <c r="AD12" s="85"/>
      <c r="AE12" s="85"/>
    </row>
    <row r="13" spans="1:31" s="367" customFormat="1" ht="18">
      <c r="A13" s="730"/>
      <c r="B13" s="668">
        <v>46210</v>
      </c>
      <c r="C13" s="731"/>
      <c r="D13" s="739"/>
      <c r="E13" s="733"/>
      <c r="F13" s="669"/>
      <c r="G13" s="670"/>
      <c r="H13" s="671"/>
      <c r="I13" s="670"/>
      <c r="J13" s="670"/>
      <c r="K13" s="670"/>
      <c r="L13" s="689"/>
      <c r="M13" s="410"/>
      <c r="N13" s="410"/>
      <c r="O13" s="409"/>
      <c r="P13" s="734"/>
      <c r="Q13" s="735"/>
      <c r="R13" s="410"/>
      <c r="S13" s="410"/>
      <c r="T13" s="409"/>
      <c r="U13" s="736"/>
      <c r="V13" s="737"/>
      <c r="W13" s="672"/>
      <c r="X13" s="672"/>
      <c r="Y13" s="673"/>
      <c r="Z13" s="738"/>
      <c r="AA13" s="673"/>
      <c r="AB13" s="772" t="s">
        <v>199</v>
      </c>
      <c r="AC13" s="85"/>
      <c r="AD13" s="85"/>
      <c r="AE13" s="85"/>
    </row>
    <row r="14" spans="1:31" s="367" customFormat="1" ht="18">
      <c r="B14" s="659">
        <v>46211</v>
      </c>
      <c r="C14" s="342"/>
      <c r="D14" s="464"/>
      <c r="E14" s="343"/>
      <c r="F14" s="467"/>
      <c r="G14" s="357"/>
      <c r="H14" s="643"/>
      <c r="I14" s="660"/>
      <c r="J14" s="357"/>
      <c r="K14" s="357"/>
      <c r="L14" s="688"/>
      <c r="M14" s="467"/>
      <c r="N14" s="467"/>
      <c r="O14" s="357"/>
      <c r="P14" s="419"/>
      <c r="Q14" s="348"/>
      <c r="R14" s="467"/>
      <c r="S14" s="467"/>
      <c r="T14" s="357"/>
      <c r="U14" s="661"/>
      <c r="V14" s="658"/>
      <c r="W14" s="361"/>
      <c r="X14" s="361"/>
      <c r="Y14" s="468"/>
      <c r="Z14" s="662"/>
      <c r="AA14" s="468"/>
    </row>
    <row r="15" spans="1:31" s="367" customFormat="1" ht="15" customHeight="1">
      <c r="A15" s="730"/>
      <c r="B15" s="668">
        <v>46212</v>
      </c>
      <c r="C15" s="731"/>
      <c r="D15" s="732"/>
      <c r="E15" s="733"/>
      <c r="F15" s="669"/>
      <c r="G15" s="670"/>
      <c r="H15" s="671"/>
      <c r="I15" s="670"/>
      <c r="J15" s="409"/>
      <c r="K15" s="409"/>
      <c r="L15" s="689"/>
      <c r="M15" s="410"/>
      <c r="N15" s="410"/>
      <c r="O15" s="409"/>
      <c r="P15" s="734"/>
      <c r="Q15" s="735"/>
      <c r="R15" s="410"/>
      <c r="S15" s="410"/>
      <c r="T15" s="409"/>
      <c r="U15" s="736"/>
      <c r="V15" s="737"/>
      <c r="W15" s="672"/>
      <c r="X15" s="672"/>
      <c r="Y15" s="673"/>
      <c r="Z15" s="738"/>
      <c r="AA15" s="673"/>
      <c r="AB15" s="772" t="s">
        <v>200</v>
      </c>
      <c r="AC15" s="903"/>
      <c r="AD15" s="903"/>
      <c r="AE15" s="903"/>
    </row>
    <row r="16" spans="1:31" s="367" customFormat="1" ht="18">
      <c r="B16" s="659">
        <v>46213</v>
      </c>
      <c r="C16" s="342"/>
      <c r="D16" s="464"/>
      <c r="E16" s="343"/>
      <c r="F16" s="705"/>
      <c r="G16" s="660"/>
      <c r="H16" s="643"/>
      <c r="I16" s="660"/>
      <c r="J16" s="357"/>
      <c r="K16" s="357"/>
      <c r="L16" s="688"/>
      <c r="M16" s="467"/>
      <c r="N16" s="467"/>
      <c r="O16" s="357"/>
      <c r="P16" s="419"/>
      <c r="Q16" s="348"/>
      <c r="R16" s="467"/>
      <c r="S16" s="467"/>
      <c r="T16" s="357"/>
      <c r="U16" s="661"/>
      <c r="V16" s="658"/>
      <c r="W16" s="361"/>
      <c r="X16" s="361"/>
      <c r="Y16" s="468"/>
      <c r="Z16" s="662"/>
      <c r="AA16" s="468"/>
      <c r="AC16" s="903"/>
      <c r="AD16" s="903"/>
      <c r="AE16" s="903"/>
    </row>
    <row r="17" spans="2:31" s="367" customFormat="1" ht="18">
      <c r="B17" s="659">
        <v>46214</v>
      </c>
      <c r="C17" s="342"/>
      <c r="D17" s="464"/>
      <c r="E17" s="343"/>
      <c r="F17" s="705"/>
      <c r="G17" s="660"/>
      <c r="H17" s="643"/>
      <c r="I17" s="660"/>
      <c r="J17" s="357"/>
      <c r="K17" s="357"/>
      <c r="L17" s="688"/>
      <c r="M17" s="467"/>
      <c r="N17" s="467"/>
      <c r="O17" s="357"/>
      <c r="P17" s="419"/>
      <c r="Q17" s="348"/>
      <c r="R17" s="467"/>
      <c r="S17" s="467"/>
      <c r="T17" s="357"/>
      <c r="U17" s="661"/>
      <c r="V17" s="658"/>
      <c r="W17" s="361"/>
      <c r="X17" s="361"/>
      <c r="Y17" s="468"/>
      <c r="Z17" s="662"/>
      <c r="AA17" s="468"/>
      <c r="AC17" s="903"/>
      <c r="AD17" s="903"/>
      <c r="AE17" s="903"/>
    </row>
    <row r="18" spans="2:31" s="367" customFormat="1" ht="18">
      <c r="B18" s="659">
        <v>46215</v>
      </c>
      <c r="C18" s="342"/>
      <c r="D18" s="464"/>
      <c r="E18" s="343"/>
      <c r="F18" s="705"/>
      <c r="G18" s="660"/>
      <c r="H18" s="643"/>
      <c r="I18" s="660"/>
      <c r="J18" s="660"/>
      <c r="K18" s="660"/>
      <c r="L18" s="688"/>
      <c r="M18" s="467"/>
      <c r="N18" s="467"/>
      <c r="O18" s="357"/>
      <c r="P18" s="419"/>
      <c r="Q18" s="348"/>
      <c r="R18" s="467"/>
      <c r="S18" s="467"/>
      <c r="T18" s="357"/>
      <c r="U18" s="661"/>
      <c r="V18" s="658"/>
      <c r="W18" s="361"/>
      <c r="X18" s="361"/>
      <c r="Y18" s="468"/>
      <c r="Z18" s="662"/>
      <c r="AA18" s="468"/>
      <c r="AC18" s="903"/>
      <c r="AD18" s="903"/>
      <c r="AE18" s="903"/>
    </row>
    <row r="19" spans="2:31" s="367" customFormat="1" ht="18">
      <c r="B19" s="659">
        <v>46216</v>
      </c>
      <c r="C19" s="342"/>
      <c r="D19" s="464"/>
      <c r="E19" s="343"/>
      <c r="F19" s="705"/>
      <c r="G19" s="660"/>
      <c r="H19" s="643"/>
      <c r="I19" s="660"/>
      <c r="J19" s="660"/>
      <c r="K19" s="660"/>
      <c r="L19" s="688"/>
      <c r="M19" s="467"/>
      <c r="N19" s="467"/>
      <c r="O19" s="357"/>
      <c r="P19" s="419"/>
      <c r="Q19" s="348"/>
      <c r="R19" s="467"/>
      <c r="S19" s="467"/>
      <c r="T19" s="357"/>
      <c r="U19" s="661"/>
      <c r="V19" s="658"/>
      <c r="W19" s="361"/>
      <c r="X19" s="361"/>
      <c r="Y19" s="468"/>
      <c r="Z19" s="662"/>
      <c r="AA19" s="468"/>
      <c r="AC19" s="903"/>
      <c r="AD19" s="903"/>
      <c r="AE19" s="903"/>
    </row>
    <row r="20" spans="2:31" s="367" customFormat="1" ht="18">
      <c r="B20" s="659">
        <v>46217</v>
      </c>
      <c r="C20" s="342"/>
      <c r="D20" s="706"/>
      <c r="E20" s="343"/>
      <c r="F20" s="705"/>
      <c r="G20" s="660"/>
      <c r="H20" s="643"/>
      <c r="I20" s="660"/>
      <c r="J20" s="660"/>
      <c r="K20" s="660"/>
      <c r="L20" s="688"/>
      <c r="M20" s="467"/>
      <c r="N20" s="467"/>
      <c r="O20" s="357"/>
      <c r="P20" s="419"/>
      <c r="Q20" s="348"/>
      <c r="R20" s="467"/>
      <c r="S20" s="467"/>
      <c r="T20" s="357"/>
      <c r="U20" s="661"/>
      <c r="V20" s="658"/>
      <c r="W20" s="361"/>
      <c r="X20" s="361"/>
      <c r="Y20" s="468"/>
      <c r="Z20" s="662"/>
      <c r="AA20" s="468"/>
      <c r="AC20" s="903"/>
      <c r="AD20" s="903"/>
      <c r="AE20" s="903"/>
    </row>
    <row r="21" spans="2:31" s="367" customFormat="1" ht="18">
      <c r="B21" s="659">
        <v>46218</v>
      </c>
      <c r="C21" s="342"/>
      <c r="D21" s="464"/>
      <c r="E21" s="343"/>
      <c r="F21" s="705"/>
      <c r="G21" s="660"/>
      <c r="H21" s="643"/>
      <c r="I21" s="690"/>
      <c r="J21" s="660"/>
      <c r="K21" s="660"/>
      <c r="L21" s="691"/>
      <c r="M21" s="467"/>
      <c r="N21" s="467"/>
      <c r="O21" s="357"/>
      <c r="P21" s="419"/>
      <c r="Q21" s="348"/>
      <c r="R21" s="467"/>
      <c r="S21" s="467"/>
      <c r="T21" s="357"/>
      <c r="U21" s="661"/>
      <c r="V21" s="658"/>
      <c r="W21" s="361"/>
      <c r="X21" s="361"/>
      <c r="Y21" s="468"/>
      <c r="Z21" s="662"/>
      <c r="AA21" s="468"/>
      <c r="AC21" s="903"/>
      <c r="AD21" s="903"/>
      <c r="AE21" s="903"/>
    </row>
    <row r="22" spans="2:31" s="367" customFormat="1" ht="18">
      <c r="B22" s="659">
        <v>46219</v>
      </c>
      <c r="C22" s="342"/>
      <c r="D22" s="464"/>
      <c r="E22" s="343"/>
      <c r="F22" s="705"/>
      <c r="G22" s="660"/>
      <c r="H22" s="643"/>
      <c r="I22" s="690"/>
      <c r="J22" s="660"/>
      <c r="K22" s="660"/>
      <c r="L22" s="725"/>
      <c r="M22" s="467"/>
      <c r="N22" s="467"/>
      <c r="O22" s="357"/>
      <c r="P22" s="419"/>
      <c r="Q22" s="348"/>
      <c r="R22" s="467"/>
      <c r="S22" s="467"/>
      <c r="T22" s="357"/>
      <c r="U22" s="661"/>
      <c r="V22" s="658"/>
      <c r="W22" s="361"/>
      <c r="X22" s="361"/>
      <c r="Y22" s="468"/>
      <c r="Z22" s="662"/>
      <c r="AA22" s="468"/>
      <c r="AC22" s="903"/>
      <c r="AD22" s="903"/>
      <c r="AE22" s="903"/>
    </row>
    <row r="23" spans="2:31" s="367" customFormat="1" ht="18">
      <c r="B23" s="659">
        <v>46220</v>
      </c>
      <c r="C23" s="342"/>
      <c r="D23" s="464"/>
      <c r="E23" s="343"/>
      <c r="F23" s="705"/>
      <c r="G23" s="660"/>
      <c r="H23" s="643"/>
      <c r="I23" s="690"/>
      <c r="J23" s="660"/>
      <c r="K23" s="660"/>
      <c r="L23" s="726"/>
      <c r="M23" s="467"/>
      <c r="N23" s="467"/>
      <c r="O23" s="357"/>
      <c r="P23" s="419"/>
      <c r="Q23" s="348"/>
      <c r="R23" s="467"/>
      <c r="S23" s="467"/>
      <c r="T23" s="357"/>
      <c r="U23" s="661"/>
      <c r="V23" s="658"/>
      <c r="W23" s="361"/>
      <c r="X23" s="361"/>
      <c r="Y23" s="468"/>
      <c r="Z23" s="662"/>
      <c r="AA23" s="468"/>
      <c r="AC23" s="903"/>
      <c r="AD23" s="903"/>
      <c r="AE23" s="903"/>
    </row>
    <row r="24" spans="2:31" s="367" customFormat="1" ht="18">
      <c r="B24" s="659">
        <v>46221</v>
      </c>
      <c r="C24" s="342"/>
      <c r="D24" s="464"/>
      <c r="E24" s="343"/>
      <c r="F24" s="705"/>
      <c r="G24" s="660"/>
      <c r="H24" s="643"/>
      <c r="I24" s="690"/>
      <c r="J24" s="660"/>
      <c r="K24" s="660"/>
      <c r="L24" s="691"/>
      <c r="M24" s="467"/>
      <c r="N24" s="467"/>
      <c r="O24" s="357"/>
      <c r="P24" s="419"/>
      <c r="Q24" s="348"/>
      <c r="R24" s="467"/>
      <c r="S24" s="467"/>
      <c r="T24" s="357"/>
      <c r="U24" s="661"/>
      <c r="V24" s="658"/>
      <c r="W24" s="361"/>
      <c r="X24" s="361"/>
      <c r="Y24" s="468"/>
      <c r="Z24" s="662"/>
      <c r="AA24" s="468"/>
      <c r="AC24" s="903"/>
      <c r="AD24" s="903"/>
      <c r="AE24" s="903"/>
    </row>
    <row r="25" spans="2:31" s="367" customFormat="1" ht="18">
      <c r="B25" s="659">
        <v>46222</v>
      </c>
      <c r="C25" s="342"/>
      <c r="D25" s="464"/>
      <c r="E25" s="343"/>
      <c r="F25" s="705"/>
      <c r="G25" s="660"/>
      <c r="H25" s="643"/>
      <c r="I25" s="690"/>
      <c r="J25" s="660"/>
      <c r="K25" s="660"/>
      <c r="L25" s="691"/>
      <c r="M25" s="467"/>
      <c r="N25" s="467"/>
      <c r="O25" s="357"/>
      <c r="P25" s="419"/>
      <c r="Q25" s="348"/>
      <c r="R25" s="467"/>
      <c r="S25" s="467"/>
      <c r="T25" s="357"/>
      <c r="U25" s="661"/>
      <c r="V25" s="658"/>
      <c r="W25" s="361"/>
      <c r="X25" s="361"/>
      <c r="Y25" s="468"/>
      <c r="Z25" s="662"/>
      <c r="AA25" s="468"/>
      <c r="AC25" s="903"/>
      <c r="AD25" s="903"/>
      <c r="AE25" s="903"/>
    </row>
    <row r="26" spans="2:31" s="338" customFormat="1" ht="18">
      <c r="B26" s="659">
        <v>46223</v>
      </c>
      <c r="C26" s="342"/>
      <c r="D26" s="464"/>
      <c r="E26" s="343"/>
      <c r="F26" s="705"/>
      <c r="G26" s="660"/>
      <c r="H26" s="643"/>
      <c r="I26" s="660"/>
      <c r="J26" s="660"/>
      <c r="K26" s="660"/>
      <c r="L26" s="688"/>
      <c r="M26" s="467"/>
      <c r="N26" s="467"/>
      <c r="O26" s="357"/>
      <c r="P26" s="419"/>
      <c r="Q26" s="348"/>
      <c r="R26" s="467"/>
      <c r="S26" s="467"/>
      <c r="T26" s="357"/>
      <c r="U26" s="661"/>
      <c r="V26" s="658"/>
      <c r="W26" s="361"/>
      <c r="X26" s="361"/>
      <c r="Y26" s="468"/>
      <c r="Z26" s="423"/>
      <c r="AA26" s="468"/>
      <c r="AC26" s="903"/>
      <c r="AD26" s="903"/>
      <c r="AE26" s="903"/>
    </row>
    <row r="27" spans="2:31" s="338" customFormat="1" ht="18">
      <c r="B27" s="659">
        <v>46224</v>
      </c>
      <c r="C27" s="342"/>
      <c r="D27" s="706"/>
      <c r="E27" s="343"/>
      <c r="F27" s="705"/>
      <c r="G27" s="660"/>
      <c r="H27" s="643"/>
      <c r="I27" s="660"/>
      <c r="J27" s="660"/>
      <c r="K27" s="660"/>
      <c r="L27" s="688"/>
      <c r="M27" s="467"/>
      <c r="N27" s="467"/>
      <c r="O27" s="357"/>
      <c r="P27" s="419"/>
      <c r="Q27" s="348"/>
      <c r="R27" s="467"/>
      <c r="S27" s="467"/>
      <c r="T27" s="357"/>
      <c r="U27" s="661"/>
      <c r="V27" s="658"/>
      <c r="W27" s="361"/>
      <c r="X27" s="361"/>
      <c r="Y27" s="468"/>
      <c r="Z27" s="423"/>
      <c r="AA27" s="468"/>
      <c r="AC27" s="903"/>
      <c r="AD27" s="903"/>
      <c r="AE27" s="903"/>
    </row>
    <row r="28" spans="2:31" s="367" customFormat="1" ht="18">
      <c r="B28" s="659">
        <v>46225</v>
      </c>
      <c r="C28" s="342"/>
      <c r="D28" s="464"/>
      <c r="E28" s="343"/>
      <c r="F28" s="705"/>
      <c r="G28" s="660"/>
      <c r="H28" s="466"/>
      <c r="I28" s="692"/>
      <c r="J28" s="660"/>
      <c r="K28" s="660"/>
      <c r="L28" s="693"/>
      <c r="M28" s="467"/>
      <c r="N28" s="467"/>
      <c r="O28" s="357"/>
      <c r="P28" s="419"/>
      <c r="Q28" s="348"/>
      <c r="R28" s="467"/>
      <c r="S28" s="467"/>
      <c r="T28" s="357"/>
      <c r="U28" s="661"/>
      <c r="V28" s="658"/>
      <c r="W28" s="361"/>
      <c r="X28" s="361"/>
      <c r="Y28" s="468"/>
      <c r="Z28" s="662"/>
      <c r="AA28" s="468"/>
      <c r="AC28" s="903"/>
      <c r="AD28" s="903"/>
      <c r="AE28" s="903"/>
    </row>
    <row r="29" spans="2:31" s="367" customFormat="1" ht="18">
      <c r="B29" s="659">
        <v>46226</v>
      </c>
      <c r="C29" s="342"/>
      <c r="D29" s="464"/>
      <c r="E29" s="343"/>
      <c r="F29" s="705"/>
      <c r="G29" s="660"/>
      <c r="H29" s="466"/>
      <c r="I29" s="357"/>
      <c r="J29" s="660"/>
      <c r="K29" s="660"/>
      <c r="L29" s="687"/>
      <c r="M29" s="467"/>
      <c r="N29" s="467"/>
      <c r="O29" s="357"/>
      <c r="P29" s="419"/>
      <c r="Q29" s="348"/>
      <c r="R29" s="467"/>
      <c r="S29" s="467"/>
      <c r="T29" s="357"/>
      <c r="U29" s="661"/>
      <c r="V29" s="658"/>
      <c r="W29" s="361"/>
      <c r="X29" s="361"/>
      <c r="Y29" s="468"/>
      <c r="Z29" s="662"/>
      <c r="AA29" s="468"/>
      <c r="AC29" s="903"/>
      <c r="AD29" s="903"/>
      <c r="AE29" s="903"/>
    </row>
    <row r="30" spans="2:31" s="367" customFormat="1" ht="15" customHeight="1">
      <c r="B30" s="659">
        <v>46227</v>
      </c>
      <c r="C30" s="342"/>
      <c r="D30" s="464"/>
      <c r="E30" s="343"/>
      <c r="F30" s="705"/>
      <c r="G30" s="660"/>
      <c r="H30" s="466"/>
      <c r="I30" s="357"/>
      <c r="J30" s="660"/>
      <c r="K30" s="660"/>
      <c r="L30" s="687"/>
      <c r="M30" s="467"/>
      <c r="N30" s="467"/>
      <c r="O30" s="357"/>
      <c r="P30" s="419"/>
      <c r="Q30" s="348"/>
      <c r="R30" s="467"/>
      <c r="S30" s="467"/>
      <c r="T30" s="357"/>
      <c r="U30" s="661"/>
      <c r="V30" s="658"/>
      <c r="W30" s="361"/>
      <c r="X30" s="361"/>
      <c r="Y30" s="468"/>
      <c r="Z30" s="662"/>
      <c r="AA30" s="468"/>
      <c r="AC30" s="903"/>
      <c r="AD30" s="903"/>
      <c r="AE30" s="903"/>
    </row>
    <row r="31" spans="2:31" s="367" customFormat="1" ht="15" customHeight="1">
      <c r="B31" s="659">
        <v>46228</v>
      </c>
      <c r="C31" s="342"/>
      <c r="D31" s="464"/>
      <c r="E31" s="343"/>
      <c r="F31" s="705"/>
      <c r="G31" s="660"/>
      <c r="H31" s="466"/>
      <c r="I31" s="357"/>
      <c r="J31" s="660"/>
      <c r="K31" s="660"/>
      <c r="L31" s="687"/>
      <c r="M31" s="467"/>
      <c r="N31" s="467"/>
      <c r="O31" s="357"/>
      <c r="P31" s="419"/>
      <c r="Q31" s="348"/>
      <c r="R31" s="467"/>
      <c r="S31" s="467"/>
      <c r="T31" s="357"/>
      <c r="U31" s="661"/>
      <c r="V31" s="658"/>
      <c r="W31" s="361"/>
      <c r="X31" s="361"/>
      <c r="Y31" s="468"/>
      <c r="Z31" s="662"/>
      <c r="AA31" s="468"/>
      <c r="AC31" s="562"/>
      <c r="AD31" s="562"/>
      <c r="AE31" s="562"/>
    </row>
    <row r="32" spans="2:31" s="367" customFormat="1" ht="15" customHeight="1">
      <c r="B32" s="659">
        <v>46229</v>
      </c>
      <c r="C32" s="342"/>
      <c r="D32" s="464"/>
      <c r="E32" s="343"/>
      <c r="F32" s="705"/>
      <c r="G32" s="660"/>
      <c r="H32" s="466"/>
      <c r="I32" s="357"/>
      <c r="J32" s="660"/>
      <c r="K32" s="660"/>
      <c r="L32" s="687"/>
      <c r="M32" s="467"/>
      <c r="N32" s="467"/>
      <c r="O32" s="357"/>
      <c r="P32" s="419"/>
      <c r="Q32" s="348"/>
      <c r="R32" s="467"/>
      <c r="S32" s="467"/>
      <c r="T32" s="357"/>
      <c r="U32" s="661"/>
      <c r="V32" s="658"/>
      <c r="W32" s="361"/>
      <c r="X32" s="361"/>
      <c r="Y32" s="468"/>
      <c r="Z32" s="662"/>
      <c r="AA32" s="468"/>
      <c r="AC32" s="562"/>
      <c r="AD32" s="562"/>
      <c r="AE32" s="562"/>
    </row>
    <row r="33" spans="2:27" s="367" customFormat="1" ht="18">
      <c r="B33" s="659">
        <v>46230</v>
      </c>
      <c r="C33" s="342"/>
      <c r="D33" s="464"/>
      <c r="E33" s="343"/>
      <c r="F33" s="705"/>
      <c r="G33" s="660"/>
      <c r="H33" s="466"/>
      <c r="I33" s="357"/>
      <c r="J33" s="660"/>
      <c r="K33" s="660"/>
      <c r="L33" s="687"/>
      <c r="M33" s="467"/>
      <c r="N33" s="467"/>
      <c r="O33" s="357"/>
      <c r="P33" s="419"/>
      <c r="Q33" s="348"/>
      <c r="R33" s="467"/>
      <c r="S33" s="467"/>
      <c r="T33" s="357"/>
      <c r="U33" s="661"/>
      <c r="V33" s="658"/>
      <c r="W33" s="361"/>
      <c r="X33" s="361"/>
      <c r="Y33" s="468"/>
      <c r="Z33" s="662"/>
      <c r="AA33" s="468"/>
    </row>
    <row r="34" spans="2:27" s="367" customFormat="1" ht="18">
      <c r="B34" s="659">
        <v>46231</v>
      </c>
      <c r="C34" s="342"/>
      <c r="D34" s="464"/>
      <c r="E34" s="343"/>
      <c r="F34" s="705"/>
      <c r="G34" s="660"/>
      <c r="H34" s="466"/>
      <c r="I34" s="357"/>
      <c r="J34" s="660"/>
      <c r="K34" s="357"/>
      <c r="L34" s="687"/>
      <c r="M34" s="467"/>
      <c r="N34" s="467"/>
      <c r="O34" s="357"/>
      <c r="P34" s="419"/>
      <c r="Q34" s="348"/>
      <c r="R34" s="467"/>
      <c r="S34" s="467"/>
      <c r="T34" s="357"/>
      <c r="U34" s="661"/>
      <c r="V34" s="658"/>
      <c r="W34" s="361"/>
      <c r="X34" s="361"/>
      <c r="Y34" s="468"/>
      <c r="Z34" s="662"/>
      <c r="AA34" s="468"/>
    </row>
    <row r="35" spans="2:27" s="367" customFormat="1" ht="18">
      <c r="B35" s="659">
        <v>46232</v>
      </c>
      <c r="C35" s="342"/>
      <c r="D35" s="464"/>
      <c r="E35" s="343"/>
      <c r="F35" s="467"/>
      <c r="G35" s="357"/>
      <c r="H35" s="466"/>
      <c r="I35" s="357"/>
      <c r="J35" s="357"/>
      <c r="K35" s="357"/>
      <c r="L35" s="687"/>
      <c r="M35" s="467"/>
      <c r="N35" s="467"/>
      <c r="O35" s="357"/>
      <c r="P35" s="419"/>
      <c r="Q35" s="348"/>
      <c r="R35" s="467"/>
      <c r="S35" s="467"/>
      <c r="T35" s="357"/>
      <c r="U35" s="661"/>
      <c r="V35" s="658"/>
      <c r="W35" s="361"/>
      <c r="X35" s="361"/>
      <c r="Y35" s="468"/>
      <c r="Z35" s="662"/>
      <c r="AA35" s="468"/>
    </row>
    <row r="36" spans="2:27" s="367" customFormat="1" ht="18">
      <c r="B36" s="659">
        <v>46233</v>
      </c>
      <c r="C36" s="342"/>
      <c r="D36" s="706"/>
      <c r="E36" s="343"/>
      <c r="F36" s="467"/>
      <c r="G36" s="357"/>
      <c r="H36" s="466"/>
      <c r="I36" s="357"/>
      <c r="J36" s="357"/>
      <c r="K36" s="357"/>
      <c r="L36" s="687"/>
      <c r="M36" s="467"/>
      <c r="N36" s="467"/>
      <c r="O36" s="357"/>
      <c r="P36" s="419"/>
      <c r="Q36" s="348"/>
      <c r="R36" s="467"/>
      <c r="S36" s="467"/>
      <c r="T36" s="357"/>
      <c r="U36" s="661"/>
      <c r="V36" s="658"/>
      <c r="W36" s="361"/>
      <c r="X36" s="361"/>
      <c r="Y36" s="468"/>
      <c r="Z36" s="662"/>
      <c r="AA36" s="468"/>
    </row>
    <row r="37" spans="2:27" s="367" customFormat="1" ht="18">
      <c r="B37" s="659">
        <v>46234</v>
      </c>
      <c r="C37" s="342"/>
      <c r="D37" s="707"/>
      <c r="E37" s="343"/>
      <c r="F37" s="467"/>
      <c r="G37" s="357"/>
      <c r="H37" s="466"/>
      <c r="I37" s="708"/>
      <c r="J37" s="708"/>
      <c r="K37" s="708"/>
      <c r="L37" s="709"/>
      <c r="M37" s="710"/>
      <c r="N37" s="710"/>
      <c r="O37" s="708"/>
      <c r="P37" s="711"/>
      <c r="Q37" s="348"/>
      <c r="R37" s="710"/>
      <c r="S37" s="710"/>
      <c r="T37" s="708"/>
      <c r="U37" s="712"/>
      <c r="V37" s="658"/>
      <c r="W37" s="713"/>
      <c r="X37" s="713"/>
      <c r="Y37" s="704"/>
      <c r="Z37" s="662"/>
      <c r="AA37" s="704"/>
    </row>
    <row r="38" spans="2:27" s="714" customFormat="1" ht="18.75" thickBot="1">
      <c r="B38" s="729">
        <v>46235</v>
      </c>
      <c r="C38" s="715"/>
      <c r="D38" s="716"/>
      <c r="E38" s="717"/>
      <c r="F38" s="727"/>
      <c r="G38" s="727"/>
      <c r="H38" s="685"/>
      <c r="I38" s="728"/>
      <c r="J38" s="728"/>
      <c r="K38" s="728"/>
      <c r="L38" s="716"/>
      <c r="M38" s="716"/>
      <c r="N38" s="716"/>
      <c r="O38" s="716"/>
      <c r="P38" s="718"/>
      <c r="Q38" s="719"/>
      <c r="R38" s="716"/>
      <c r="S38" s="716"/>
      <c r="T38" s="716"/>
      <c r="U38" s="720"/>
      <c r="V38" s="721"/>
      <c r="W38" s="722"/>
      <c r="X38" s="722"/>
      <c r="Y38" s="723"/>
      <c r="Z38" s="724"/>
      <c r="AA38" s="667"/>
    </row>
    <row r="39" spans="2:27" ht="16.5" thickTop="1" thickBot="1"/>
    <row r="40" spans="2:27" ht="17.25" thickTop="1" thickBot="1">
      <c r="C40" s="897" t="s">
        <v>191</v>
      </c>
      <c r="D40" s="609"/>
      <c r="E40" s="610"/>
      <c r="F40" s="901" t="s">
        <v>201</v>
      </c>
      <c r="G40" s="901"/>
      <c r="H40" s="902"/>
      <c r="I40" s="901"/>
      <c r="L40" s="90" t="s">
        <v>202</v>
      </c>
    </row>
    <row r="41" spans="2:27" ht="15.75" thickTop="1">
      <c r="C41" s="898"/>
      <c r="D41" s="611"/>
      <c r="E41" s="612"/>
      <c r="F41" s="900" t="s">
        <v>203</v>
      </c>
      <c r="G41" s="900"/>
      <c r="H41" s="620"/>
      <c r="I41" s="613">
        <f>I38</f>
        <v>0</v>
      </c>
      <c r="K41" s="607"/>
      <c r="L41" s="633" t="e">
        <f>AVERAGE(L10:L14,L17:L21)</f>
        <v>#DIV/0!</v>
      </c>
      <c r="M41" s="904" t="s">
        <v>204</v>
      </c>
      <c r="N41" s="904"/>
      <c r="O41" s="904" t="s">
        <v>204</v>
      </c>
      <c r="P41" s="904"/>
      <c r="W41" s="450" t="s">
        <v>205</v>
      </c>
      <c r="X41" s="450" t="s">
        <v>206</v>
      </c>
      <c r="Y41" s="904" t="s">
        <v>204</v>
      </c>
      <c r="Z41" s="904"/>
    </row>
    <row r="42" spans="2:27">
      <c r="C42" s="898"/>
      <c r="D42" s="611"/>
      <c r="E42" s="612"/>
      <c r="F42" s="900" t="s">
        <v>207</v>
      </c>
      <c r="G42" s="900"/>
      <c r="H42" s="621"/>
      <c r="I42" s="613">
        <f>J38</f>
        <v>0</v>
      </c>
      <c r="K42" s="310"/>
      <c r="L42" s="310"/>
      <c r="M42" s="310">
        <f>K42*L42</f>
        <v>0</v>
      </c>
      <c r="O42" s="310">
        <f>M42*N42</f>
        <v>0</v>
      </c>
      <c r="W42" s="310">
        <v>80</v>
      </c>
      <c r="X42" s="310">
        <v>17</v>
      </c>
      <c r="Y42" s="310">
        <f>W42*X42</f>
        <v>1360</v>
      </c>
      <c r="Z42" s="90"/>
    </row>
    <row r="43" spans="2:27" ht="26.25" customHeight="1">
      <c r="C43" s="898"/>
      <c r="D43" s="611"/>
      <c r="E43" s="612"/>
      <c r="F43" s="900" t="s">
        <v>208</v>
      </c>
      <c r="G43" s="900"/>
      <c r="H43" s="621"/>
      <c r="I43" s="614" t="e">
        <f>I41/I42</f>
        <v>#DIV/0!</v>
      </c>
    </row>
    <row r="44" spans="2:27" ht="15.75" thickBot="1">
      <c r="C44" s="898"/>
      <c r="D44" s="611"/>
      <c r="E44" s="612"/>
      <c r="F44" s="894" t="s">
        <v>209</v>
      </c>
      <c r="G44" s="894"/>
      <c r="H44" s="621"/>
      <c r="I44" s="623" t="e">
        <f>100%-I43</f>
        <v>#DIV/0!</v>
      </c>
    </row>
    <row r="45" spans="2:27" ht="16.5" thickTop="1" thickBot="1">
      <c r="C45" s="674"/>
      <c r="D45" s="618"/>
      <c r="E45" s="619"/>
      <c r="F45" s="625"/>
      <c r="G45" s="625"/>
      <c r="H45" s="626"/>
      <c r="I45" s="627"/>
    </row>
    <row r="46" spans="2:27" ht="27" customHeight="1" thickTop="1">
      <c r="C46" s="898" t="s">
        <v>210</v>
      </c>
      <c r="D46" s="611"/>
      <c r="E46" s="612"/>
      <c r="F46" s="895" t="s">
        <v>211</v>
      </c>
      <c r="G46" s="895"/>
      <c r="H46" s="621"/>
      <c r="I46" s="624">
        <f>F38-G38</f>
        <v>0</v>
      </c>
    </row>
    <row r="47" spans="2:27" ht="15.75" thickBot="1">
      <c r="C47" s="899"/>
      <c r="D47" s="615"/>
      <c r="E47" s="616"/>
      <c r="F47" s="896" t="s">
        <v>42</v>
      </c>
      <c r="G47" s="896"/>
      <c r="H47" s="622"/>
      <c r="I47" s="617" t="e">
        <f>I46/G38*100%</f>
        <v>#DIV/0!</v>
      </c>
    </row>
    <row r="48" spans="2:27" ht="15.75" thickTop="1"/>
  </sheetData>
  <mergeCells count="35">
    <mergeCell ref="M41:N41"/>
    <mergeCell ref="Y41:Z41"/>
    <mergeCell ref="B2:AA2"/>
    <mergeCell ref="F3:G3"/>
    <mergeCell ref="I3:L3"/>
    <mergeCell ref="M3:P3"/>
    <mergeCell ref="R3:U3"/>
    <mergeCell ref="W3:AA3"/>
    <mergeCell ref="O41:P41"/>
    <mergeCell ref="D4:D5"/>
    <mergeCell ref="AC25:AE25"/>
    <mergeCell ref="AC15:AE15"/>
    <mergeCell ref="AC16:AE16"/>
    <mergeCell ref="AC17:AE17"/>
    <mergeCell ref="AC18:AE18"/>
    <mergeCell ref="AC19:AE19"/>
    <mergeCell ref="AC20:AE20"/>
    <mergeCell ref="AC21:AE21"/>
    <mergeCell ref="AC22:AE22"/>
    <mergeCell ref="AC23:AE23"/>
    <mergeCell ref="AC24:AE24"/>
    <mergeCell ref="AC26:AE26"/>
    <mergeCell ref="AC27:AE27"/>
    <mergeCell ref="AC28:AE28"/>
    <mergeCell ref="AC29:AE29"/>
    <mergeCell ref="AC30:AE30"/>
    <mergeCell ref="F44:G44"/>
    <mergeCell ref="F46:G46"/>
    <mergeCell ref="F47:G47"/>
    <mergeCell ref="C40:C44"/>
    <mergeCell ref="C46:C47"/>
    <mergeCell ref="F41:G41"/>
    <mergeCell ref="F42:G42"/>
    <mergeCell ref="F43:G43"/>
    <mergeCell ref="F40:I40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B643-5D91-4A38-A0A0-65B729547C5C}">
  <sheetPr codeName="Planilha5"/>
  <dimension ref="A1:C20"/>
  <sheetViews>
    <sheetView workbookViewId="0"/>
  </sheetViews>
  <sheetFormatPr defaultRowHeight="14.25"/>
  <sheetData>
    <row r="1" spans="1:3" ht="15">
      <c r="A1" s="473">
        <v>46113</v>
      </c>
      <c r="B1" s="465">
        <v>16</v>
      </c>
      <c r="C1" s="346"/>
    </row>
    <row r="2" spans="1:3" ht="15">
      <c r="A2" s="474">
        <v>46114</v>
      </c>
      <c r="B2" s="467">
        <v>16</v>
      </c>
      <c r="C2" s="357"/>
    </row>
    <row r="3" spans="1:3" ht="15">
      <c r="A3" s="480">
        <v>46115</v>
      </c>
      <c r="B3" s="410">
        <v>16</v>
      </c>
      <c r="C3" s="409"/>
    </row>
    <row r="4" spans="1:3" ht="15">
      <c r="A4" s="476">
        <v>46116</v>
      </c>
      <c r="B4" s="376">
        <v>16</v>
      </c>
      <c r="C4" s="373"/>
    </row>
    <row r="5" spans="1:3" ht="15">
      <c r="A5" s="476">
        <v>46117</v>
      </c>
      <c r="B5" s="376">
        <v>16</v>
      </c>
      <c r="C5" s="373"/>
    </row>
    <row r="6" spans="1:3" ht="15">
      <c r="A6" s="474">
        <v>46118</v>
      </c>
      <c r="B6" s="467">
        <v>16</v>
      </c>
      <c r="C6" s="357"/>
    </row>
    <row r="7" spans="1:3" ht="15">
      <c r="A7" s="474">
        <v>46119</v>
      </c>
      <c r="B7" s="467">
        <v>16</v>
      </c>
      <c r="C7" s="357"/>
    </row>
    <row r="8" spans="1:3" ht="15">
      <c r="A8" s="474">
        <v>46120</v>
      </c>
      <c r="B8" s="467">
        <v>16</v>
      </c>
      <c r="C8" s="357"/>
    </row>
    <row r="9" spans="1:3" ht="15">
      <c r="A9" s="474">
        <v>46121</v>
      </c>
      <c r="B9" s="467">
        <v>16</v>
      </c>
      <c r="C9" s="357"/>
    </row>
    <row r="10" spans="1:3" ht="15">
      <c r="A10" s="474">
        <v>46122</v>
      </c>
      <c r="B10" s="467">
        <v>16</v>
      </c>
      <c r="C10" s="357"/>
    </row>
    <row r="11" spans="1:3" ht="15">
      <c r="A11" s="476">
        <v>46123</v>
      </c>
      <c r="B11" s="376">
        <v>16</v>
      </c>
      <c r="C11" s="373"/>
    </row>
    <row r="12" spans="1:3" ht="15">
      <c r="A12" s="476">
        <v>46124</v>
      </c>
      <c r="B12" s="376">
        <v>16</v>
      </c>
      <c r="C12" s="373"/>
    </row>
    <row r="13" spans="1:3" ht="15">
      <c r="A13" s="474">
        <v>46125</v>
      </c>
      <c r="B13" s="467">
        <v>16</v>
      </c>
      <c r="C13" s="357"/>
    </row>
    <row r="14" spans="1:3" ht="15">
      <c r="A14" s="474">
        <v>46126</v>
      </c>
      <c r="B14" s="467">
        <v>16</v>
      </c>
      <c r="C14" s="357"/>
    </row>
    <row r="15" spans="1:3" ht="15">
      <c r="A15" s="474">
        <v>46127</v>
      </c>
      <c r="B15" s="467">
        <v>16</v>
      </c>
      <c r="C15" s="357"/>
    </row>
    <row r="16" spans="1:3" ht="15">
      <c r="A16" s="474">
        <v>46128</v>
      </c>
      <c r="B16" s="467">
        <v>16</v>
      </c>
      <c r="C16" s="357"/>
    </row>
    <row r="17" spans="1:3" ht="15">
      <c r="A17" s="474">
        <v>46129</v>
      </c>
      <c r="B17" s="467">
        <v>16</v>
      </c>
      <c r="C17" s="357"/>
    </row>
    <row r="18" spans="1:3" ht="15">
      <c r="A18" s="476">
        <v>46130</v>
      </c>
      <c r="B18" s="376">
        <v>16</v>
      </c>
      <c r="C18" s="373"/>
    </row>
    <row r="19" spans="1:3" ht="15">
      <c r="A19" s="476">
        <v>46131</v>
      </c>
      <c r="B19" s="376">
        <v>16</v>
      </c>
      <c r="C19" s="373"/>
    </row>
    <row r="20" spans="1:3" ht="15">
      <c r="A20" s="480">
        <v>46132</v>
      </c>
      <c r="B20" s="410">
        <v>16</v>
      </c>
      <c r="C20" s="40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1D24-3A74-4EBD-8A37-BC1EFE388005}">
  <sheetPr codeName="Planilha6">
    <tabColor theme="8" tint="-0.249977111117893"/>
  </sheetPr>
  <dimension ref="A1:T48"/>
  <sheetViews>
    <sheetView zoomScaleNormal="100" workbookViewId="0">
      <pane ySplit="4" topLeftCell="A5" activePane="bottomLeft" state="frozen"/>
      <selection pane="bottomLeft" activeCell="I27" sqref="I27"/>
    </sheetView>
  </sheetViews>
  <sheetFormatPr defaultRowHeight="15"/>
  <cols>
    <col min="1" max="1" width="43" style="86" customWidth="1"/>
    <col min="2" max="2" width="6.5" style="86" customWidth="1"/>
    <col min="3" max="4" width="20" style="86" customWidth="1"/>
    <col min="5" max="5" width="13.5" style="310" hidden="1" customWidth="1"/>
    <col min="6" max="6" width="16.5" style="310" hidden="1" customWidth="1"/>
    <col min="7" max="7" width="13.5" style="310" hidden="1" customWidth="1"/>
    <col min="8" max="8" width="19.5" style="310" customWidth="1"/>
    <col min="9" max="9" width="15.5" style="310" customWidth="1"/>
    <col min="10" max="10" width="14.5" style="310" customWidth="1"/>
    <col min="11" max="11" width="15" style="310" customWidth="1"/>
    <col min="12" max="12" width="9.5" style="310" customWidth="1"/>
    <col min="13" max="13" width="6" style="310" customWidth="1"/>
    <col min="14" max="14" width="28.5" style="311" customWidth="1"/>
    <col min="15" max="15" width="3.5" style="85" customWidth="1"/>
    <col min="16" max="16" width="20.5" style="84" customWidth="1"/>
    <col min="17" max="17" width="16.5" style="84" customWidth="1"/>
    <col min="18" max="18" width="14.5" style="84" customWidth="1"/>
    <col min="19" max="19" width="11.5" style="84" customWidth="1"/>
    <col min="20" max="20" width="20.5" style="84" customWidth="1"/>
    <col min="21" max="16369" width="9.5" style="85"/>
    <col min="16370" max="16377" width="9.5" style="85" bestFit="1" customWidth="1"/>
    <col min="16378" max="16384" width="9.5" style="85"/>
  </cols>
  <sheetData>
    <row r="1" spans="1:20" ht="48.75" customHeight="1">
      <c r="A1" s="558">
        <f ca="1">TODAY()</f>
        <v>46309</v>
      </c>
      <c r="D1" s="39"/>
      <c r="E1" s="39"/>
      <c r="F1" s="39"/>
      <c r="G1" s="39"/>
      <c r="H1" s="39"/>
    </row>
    <row r="2" spans="1:20" ht="30">
      <c r="A2" s="921" t="s">
        <v>212</v>
      </c>
      <c r="B2" s="921"/>
      <c r="C2" s="921"/>
      <c r="D2" s="921"/>
      <c r="E2" s="921"/>
      <c r="F2" s="921"/>
      <c r="G2" s="921"/>
      <c r="H2" s="921"/>
      <c r="I2" s="921"/>
      <c r="J2" s="921"/>
      <c r="K2" s="921"/>
      <c r="L2" s="921"/>
      <c r="M2" s="921"/>
      <c r="N2" s="312"/>
    </row>
    <row r="3" spans="1:20" s="309" customFormat="1" ht="20.25">
      <c r="A3" s="579"/>
      <c r="B3" s="678"/>
      <c r="C3" s="479"/>
      <c r="D3" s="479"/>
      <c r="E3" s="923" t="s">
        <v>213</v>
      </c>
      <c r="F3" s="924"/>
      <c r="G3" s="924"/>
      <c r="H3" s="924"/>
      <c r="I3" s="924"/>
      <c r="J3" s="630"/>
      <c r="K3" s="630"/>
      <c r="L3" s="630"/>
      <c r="M3" s="182"/>
      <c r="N3" s="313"/>
      <c r="P3" s="453"/>
      <c r="Q3" s="453"/>
      <c r="R3" s="453"/>
      <c r="S3" s="453"/>
      <c r="T3" s="453"/>
    </row>
    <row r="4" spans="1:20" s="37" customFormat="1" ht="32.25" thickBot="1">
      <c r="A4" s="580" t="s">
        <v>214</v>
      </c>
      <c r="B4" s="675"/>
      <c r="C4" s="451" t="s">
        <v>215</v>
      </c>
      <c r="D4" s="451" t="s">
        <v>216</v>
      </c>
      <c r="E4" s="451" t="s">
        <v>217</v>
      </c>
      <c r="F4" s="451" t="s">
        <v>218</v>
      </c>
      <c r="G4" s="451" t="s">
        <v>219</v>
      </c>
      <c r="H4" s="451" t="s">
        <v>220</v>
      </c>
      <c r="I4" s="451" t="s">
        <v>218</v>
      </c>
      <c r="J4" s="557" t="s">
        <v>221</v>
      </c>
      <c r="K4" s="557" t="s">
        <v>42</v>
      </c>
      <c r="L4" s="557" t="s">
        <v>222</v>
      </c>
      <c r="M4" s="679"/>
      <c r="N4" s="576" t="s">
        <v>223</v>
      </c>
      <c r="P4" s="31"/>
      <c r="Q4" s="31"/>
      <c r="R4" s="31"/>
      <c r="S4" s="31"/>
      <c r="T4" s="31"/>
    </row>
    <row r="5" spans="1:20" s="37" customFormat="1" ht="17.25" thickTop="1" thickBot="1">
      <c r="A5" s="577"/>
      <c r="B5" s="675"/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679"/>
      <c r="N5" s="676"/>
      <c r="P5" s="925" t="s">
        <v>63</v>
      </c>
      <c r="Q5" s="925" t="s">
        <v>224</v>
      </c>
      <c r="R5" s="925" t="s">
        <v>225</v>
      </c>
      <c r="S5" s="925" t="s">
        <v>206</v>
      </c>
      <c r="T5" s="925" t="s">
        <v>204</v>
      </c>
    </row>
    <row r="6" spans="1:20" s="37" customFormat="1" ht="12" customHeight="1" thickTop="1">
      <c r="A6" s="750">
        <v>46204</v>
      </c>
      <c r="B6" s="740"/>
      <c r="C6" s="741"/>
      <c r="D6" s="741"/>
      <c r="E6" s="741"/>
      <c r="F6" s="741"/>
      <c r="G6" s="741"/>
      <c r="H6" s="741"/>
      <c r="I6" s="741"/>
      <c r="J6" s="741"/>
      <c r="K6" s="742"/>
      <c r="L6" s="741"/>
      <c r="M6" s="743"/>
      <c r="N6" s="744"/>
      <c r="P6" s="926"/>
      <c r="Q6" s="926"/>
      <c r="R6" s="926"/>
      <c r="S6" s="926"/>
      <c r="T6" s="926"/>
    </row>
    <row r="7" spans="1:20" s="37" customFormat="1" ht="12" customHeight="1">
      <c r="A7" s="751">
        <v>46205</v>
      </c>
      <c r="B7" s="740"/>
      <c r="C7" s="745"/>
      <c r="D7" s="745"/>
      <c r="E7" s="745"/>
      <c r="F7" s="745"/>
      <c r="G7" s="745"/>
      <c r="H7" s="745"/>
      <c r="I7" s="745"/>
      <c r="J7" s="745"/>
      <c r="K7" s="746"/>
      <c r="L7" s="745"/>
      <c r="M7" s="743"/>
      <c r="N7" s="745"/>
      <c r="P7" s="43" t="s">
        <v>217</v>
      </c>
      <c r="Q7" s="635">
        <v>300</v>
      </c>
      <c r="R7" s="635">
        <f>Q7/Q$12</f>
        <v>75</v>
      </c>
      <c r="S7" s="635">
        <v>4</v>
      </c>
      <c r="T7" s="635">
        <f>S7*Q7</f>
        <v>1200</v>
      </c>
    </row>
    <row r="8" spans="1:20" s="37" customFormat="1" ht="12" customHeight="1" thickBot="1">
      <c r="A8" s="751">
        <v>46206</v>
      </c>
      <c r="B8" s="740"/>
      <c r="C8" s="745"/>
      <c r="D8" s="745"/>
      <c r="E8" s="745"/>
      <c r="F8" s="745"/>
      <c r="G8" s="745"/>
      <c r="H8" s="745"/>
      <c r="I8" s="745"/>
      <c r="J8" s="745"/>
      <c r="K8" s="746"/>
      <c r="L8" s="745"/>
      <c r="M8" s="743"/>
      <c r="N8" s="747"/>
      <c r="P8" s="636" t="s">
        <v>219</v>
      </c>
      <c r="Q8" s="637">
        <v>300</v>
      </c>
      <c r="R8" s="637">
        <f>Q8/Q$12</f>
        <v>75</v>
      </c>
      <c r="S8" s="637">
        <v>4</v>
      </c>
      <c r="T8" s="637">
        <f>S8*Q8</f>
        <v>1200</v>
      </c>
    </row>
    <row r="9" spans="1:20" s="37" customFormat="1" ht="12" customHeight="1" thickTop="1">
      <c r="A9" s="751">
        <v>46207</v>
      </c>
      <c r="B9" s="740"/>
      <c r="C9" s="745"/>
      <c r="D9" s="745"/>
      <c r="E9" s="745"/>
      <c r="F9" s="745"/>
      <c r="G9" s="745"/>
      <c r="H9" s="745"/>
      <c r="I9" s="745"/>
      <c r="J9" s="745"/>
      <c r="K9" s="746"/>
      <c r="L9" s="745"/>
      <c r="M9" s="743"/>
      <c r="N9" s="747"/>
      <c r="P9" s="42"/>
      <c r="Q9" s="47"/>
      <c r="R9" s="47"/>
      <c r="S9" s="47"/>
      <c r="T9" s="47"/>
    </row>
    <row r="10" spans="1:20" s="37" customFormat="1" ht="12" customHeight="1" thickBot="1">
      <c r="A10" s="751">
        <v>46208</v>
      </c>
      <c r="B10" s="740"/>
      <c r="C10" s="745"/>
      <c r="D10" s="745"/>
      <c r="E10" s="745"/>
      <c r="F10" s="745"/>
      <c r="G10" s="745"/>
      <c r="H10" s="745"/>
      <c r="I10" s="745"/>
      <c r="J10" s="745"/>
      <c r="K10" s="746"/>
      <c r="L10" s="745"/>
      <c r="M10" s="743"/>
      <c r="N10" s="747"/>
      <c r="P10" s="42"/>
      <c r="Q10" s="42"/>
      <c r="R10" s="42"/>
      <c r="S10" s="42"/>
      <c r="T10" s="42"/>
    </row>
    <row r="11" spans="1:20" s="37" customFormat="1" ht="12" customHeight="1" thickTop="1">
      <c r="A11" s="751">
        <v>46209</v>
      </c>
      <c r="B11" s="740"/>
      <c r="C11" s="745"/>
      <c r="D11" s="745"/>
      <c r="E11" s="745"/>
      <c r="F11" s="745"/>
      <c r="G11" s="745"/>
      <c r="H11" s="745"/>
      <c r="I11" s="745"/>
      <c r="J11" s="745"/>
      <c r="K11" s="746"/>
      <c r="L11" s="745"/>
      <c r="M11" s="743"/>
      <c r="N11" s="747"/>
      <c r="P11" s="638" t="s">
        <v>226</v>
      </c>
      <c r="Q11" s="638">
        <v>6</v>
      </c>
      <c r="R11" s="42"/>
      <c r="S11" s="42"/>
      <c r="T11" s="42"/>
    </row>
    <row r="12" spans="1:20" s="37" customFormat="1" ht="12" customHeight="1">
      <c r="A12" s="753">
        <v>46210</v>
      </c>
      <c r="B12" s="754"/>
      <c r="C12" s="631"/>
      <c r="D12" s="631"/>
      <c r="E12" s="631"/>
      <c r="F12" s="631"/>
      <c r="G12" s="631"/>
      <c r="H12" s="631"/>
      <c r="I12" s="631"/>
      <c r="J12" s="631"/>
      <c r="K12" s="695"/>
      <c r="L12" s="631"/>
      <c r="M12" s="755"/>
      <c r="N12" s="677" t="s">
        <v>199</v>
      </c>
      <c r="P12" s="639" t="s">
        <v>206</v>
      </c>
      <c r="Q12" s="639">
        <v>4</v>
      </c>
      <c r="R12" s="42"/>
      <c r="S12" s="42"/>
      <c r="T12" s="42"/>
    </row>
    <row r="13" spans="1:20" s="37" customFormat="1" ht="12" customHeight="1" thickBot="1">
      <c r="A13" s="751">
        <v>46211</v>
      </c>
      <c r="B13" s="740"/>
      <c r="C13" s="745"/>
      <c r="D13" s="745"/>
      <c r="E13" s="745"/>
      <c r="F13" s="745"/>
      <c r="G13" s="745"/>
      <c r="H13" s="745"/>
      <c r="I13" s="745"/>
      <c r="J13" s="745"/>
      <c r="K13" s="746"/>
      <c r="L13" s="745"/>
      <c r="M13" s="743"/>
      <c r="N13" s="747"/>
      <c r="P13" s="636" t="s">
        <v>227</v>
      </c>
      <c r="Q13" s="636">
        <f>Q11*Q12</f>
        <v>24</v>
      </c>
      <c r="R13" s="42"/>
      <c r="S13" s="42"/>
      <c r="T13" s="42"/>
    </row>
    <row r="14" spans="1:20" s="37" customFormat="1" ht="12" customHeight="1" thickTop="1">
      <c r="A14" s="753">
        <v>46212</v>
      </c>
      <c r="B14" s="754"/>
      <c r="C14" s="631"/>
      <c r="D14" s="631"/>
      <c r="E14" s="631"/>
      <c r="F14" s="631"/>
      <c r="G14" s="631"/>
      <c r="H14" s="631"/>
      <c r="I14" s="631"/>
      <c r="J14" s="631"/>
      <c r="K14" s="695"/>
      <c r="L14" s="631"/>
      <c r="M14" s="755"/>
      <c r="N14" s="677" t="s">
        <v>200</v>
      </c>
    </row>
    <row r="15" spans="1:20" s="37" customFormat="1" ht="12" customHeight="1" thickBot="1">
      <c r="A15" s="751">
        <v>46213</v>
      </c>
      <c r="B15" s="740"/>
      <c r="C15" s="745"/>
      <c r="D15" s="745"/>
      <c r="E15" s="745"/>
      <c r="F15" s="745"/>
      <c r="G15" s="745"/>
      <c r="H15" s="745"/>
      <c r="I15" s="745"/>
      <c r="J15" s="745"/>
      <c r="K15" s="746"/>
      <c r="L15" s="745"/>
      <c r="M15" s="743"/>
      <c r="N15" s="747"/>
    </row>
    <row r="16" spans="1:20" s="37" customFormat="1" ht="12" customHeight="1" thickTop="1">
      <c r="A16" s="751">
        <v>46214</v>
      </c>
      <c r="B16" s="740"/>
      <c r="C16" s="745"/>
      <c r="D16" s="745"/>
      <c r="E16" s="745"/>
      <c r="F16" s="745"/>
      <c r="G16" s="745"/>
      <c r="H16" s="745"/>
      <c r="I16" s="745"/>
      <c r="J16" s="745"/>
      <c r="K16" s="746"/>
      <c r="L16" s="745"/>
      <c r="M16" s="743"/>
      <c r="N16" s="747"/>
      <c r="P16" s="640">
        <v>47</v>
      </c>
      <c r="Q16" s="922" t="s">
        <v>228</v>
      </c>
      <c r="R16" s="922"/>
      <c r="S16" s="922"/>
      <c r="T16" s="922"/>
    </row>
    <row r="17" spans="1:20" s="37" customFormat="1" ht="12" customHeight="1">
      <c r="A17" s="751">
        <v>46215</v>
      </c>
      <c r="B17" s="740"/>
      <c r="C17" s="745"/>
      <c r="D17" s="745"/>
      <c r="E17" s="745"/>
      <c r="F17" s="745"/>
      <c r="G17" s="745"/>
      <c r="H17" s="745"/>
      <c r="I17" s="745"/>
      <c r="J17" s="745"/>
      <c r="K17" s="746"/>
      <c r="L17" s="745"/>
      <c r="M17" s="743"/>
      <c r="N17" s="747"/>
      <c r="P17" s="641">
        <v>48</v>
      </c>
      <c r="Q17" s="920" t="s">
        <v>229</v>
      </c>
      <c r="R17" s="920"/>
      <c r="S17" s="920"/>
      <c r="T17" s="920"/>
    </row>
    <row r="18" spans="1:20" s="37" customFormat="1" ht="12" customHeight="1">
      <c r="A18" s="751">
        <v>46216</v>
      </c>
      <c r="B18" s="740"/>
      <c r="C18" s="745"/>
      <c r="D18" s="745"/>
      <c r="E18" s="745"/>
      <c r="F18" s="745"/>
      <c r="G18" s="745"/>
      <c r="H18" s="745"/>
      <c r="I18" s="745"/>
      <c r="J18" s="745"/>
      <c r="K18" s="746"/>
      <c r="L18" s="745"/>
      <c r="M18" s="743"/>
      <c r="N18" s="747"/>
      <c r="P18" s="641">
        <v>49</v>
      </c>
      <c r="Q18" s="920" t="s">
        <v>151</v>
      </c>
      <c r="R18" s="920"/>
      <c r="S18" s="920"/>
      <c r="T18" s="920"/>
    </row>
    <row r="19" spans="1:20" s="37" customFormat="1" ht="12" customHeight="1">
      <c r="A19" s="751">
        <v>46217</v>
      </c>
      <c r="B19" s="740"/>
      <c r="C19" s="745"/>
      <c r="D19" s="745"/>
      <c r="E19" s="745"/>
      <c r="F19" s="745"/>
      <c r="G19" s="745"/>
      <c r="H19" s="745"/>
      <c r="I19" s="745"/>
      <c r="J19" s="745"/>
      <c r="K19" s="746"/>
      <c r="L19" s="745"/>
      <c r="M19" s="743"/>
      <c r="N19" s="747"/>
      <c r="P19" s="641">
        <v>50</v>
      </c>
      <c r="Q19" s="920" t="s">
        <v>230</v>
      </c>
      <c r="R19" s="920"/>
      <c r="S19" s="920"/>
      <c r="T19" s="920"/>
    </row>
    <row r="20" spans="1:20" s="37" customFormat="1" ht="12" customHeight="1">
      <c r="A20" s="751">
        <v>46218</v>
      </c>
      <c r="B20" s="740"/>
      <c r="C20" s="745"/>
      <c r="D20" s="745"/>
      <c r="E20" s="745"/>
      <c r="F20" s="745"/>
      <c r="G20" s="745"/>
      <c r="H20" s="745"/>
      <c r="I20" s="745"/>
      <c r="J20" s="745"/>
      <c r="K20" s="746"/>
      <c r="L20" s="745"/>
      <c r="M20" s="743"/>
      <c r="N20" s="747"/>
      <c r="P20" s="642"/>
      <c r="Q20" s="930"/>
      <c r="R20" s="930"/>
      <c r="S20" s="930"/>
      <c r="T20" s="930"/>
    </row>
    <row r="21" spans="1:20" s="37" customFormat="1" ht="12" customHeight="1">
      <c r="A21" s="751">
        <v>46219</v>
      </c>
      <c r="B21" s="740"/>
      <c r="C21" s="745"/>
      <c r="D21" s="745"/>
      <c r="E21" s="745"/>
      <c r="F21" s="745"/>
      <c r="G21" s="745"/>
      <c r="H21" s="745"/>
      <c r="I21" s="745"/>
      <c r="J21" s="745"/>
      <c r="K21" s="746"/>
      <c r="L21" s="745"/>
      <c r="M21" s="743"/>
      <c r="N21" s="747"/>
      <c r="P21" s="31"/>
      <c r="Q21" s="31"/>
      <c r="R21" s="31"/>
      <c r="S21" s="31"/>
      <c r="T21" s="31"/>
    </row>
    <row r="22" spans="1:20" s="37" customFormat="1" ht="12" customHeight="1">
      <c r="A22" s="751">
        <v>46220</v>
      </c>
      <c r="B22" s="740"/>
      <c r="C22" s="745"/>
      <c r="D22" s="745"/>
      <c r="E22" s="745"/>
      <c r="F22" s="745"/>
      <c r="G22" s="745"/>
      <c r="H22" s="745"/>
      <c r="I22" s="745"/>
      <c r="J22" s="745"/>
      <c r="K22" s="746"/>
      <c r="L22" s="745"/>
      <c r="M22" s="743"/>
      <c r="N22" s="747"/>
      <c r="P22" s="31"/>
      <c r="Q22" s="31"/>
      <c r="R22" s="31"/>
      <c r="S22" s="31"/>
      <c r="T22" s="31"/>
    </row>
    <row r="23" spans="1:20" s="37" customFormat="1" ht="12" customHeight="1">
      <c r="A23" s="751">
        <v>46221</v>
      </c>
      <c r="B23" s="740"/>
      <c r="C23" s="745"/>
      <c r="D23" s="745"/>
      <c r="E23" s="745"/>
      <c r="F23" s="745"/>
      <c r="G23" s="745"/>
      <c r="H23" s="745"/>
      <c r="I23" s="745"/>
      <c r="J23" s="745"/>
      <c r="K23" s="746"/>
      <c r="L23" s="745"/>
      <c r="M23" s="743"/>
      <c r="N23" s="747"/>
      <c r="P23" s="31"/>
      <c r="Q23" s="31"/>
      <c r="R23" s="31"/>
      <c r="S23" s="31"/>
      <c r="T23" s="31"/>
    </row>
    <row r="24" spans="1:20" s="37" customFormat="1" ht="15.75">
      <c r="A24" s="751">
        <v>46222</v>
      </c>
      <c r="B24" s="740"/>
      <c r="C24" s="745"/>
      <c r="D24" s="745"/>
      <c r="E24" s="745"/>
      <c r="F24" s="745"/>
      <c r="G24" s="745"/>
      <c r="H24" s="745"/>
      <c r="I24" s="745"/>
      <c r="J24" s="745"/>
      <c r="K24" s="746"/>
      <c r="L24" s="745"/>
      <c r="M24" s="743"/>
      <c r="N24" s="748"/>
      <c r="P24" s="31"/>
      <c r="Q24" s="31"/>
      <c r="R24" s="31"/>
      <c r="S24" s="31"/>
      <c r="T24" s="31"/>
    </row>
    <row r="25" spans="1:20" s="37" customFormat="1" ht="12" customHeight="1">
      <c r="A25" s="751">
        <v>46223</v>
      </c>
      <c r="B25" s="740"/>
      <c r="C25" s="745"/>
      <c r="D25" s="745"/>
      <c r="E25" s="745"/>
      <c r="F25" s="745"/>
      <c r="G25" s="745"/>
      <c r="H25" s="745"/>
      <c r="I25" s="745"/>
      <c r="J25" s="745"/>
      <c r="K25" s="746"/>
      <c r="L25" s="745"/>
      <c r="M25" s="743"/>
      <c r="N25" s="745"/>
      <c r="P25" s="31"/>
      <c r="Q25" s="31"/>
      <c r="R25" s="31"/>
      <c r="S25" s="31"/>
      <c r="T25" s="31"/>
    </row>
    <row r="26" spans="1:20" s="37" customFormat="1" ht="12" customHeight="1">
      <c r="A26" s="751">
        <v>46224</v>
      </c>
      <c r="B26" s="740"/>
      <c r="C26" s="745"/>
      <c r="D26" s="745"/>
      <c r="E26" s="745"/>
      <c r="F26" s="745"/>
      <c r="G26" s="745"/>
      <c r="H26" s="745"/>
      <c r="I26" s="745"/>
      <c r="J26" s="745"/>
      <c r="K26" s="746"/>
      <c r="L26" s="745"/>
      <c r="M26" s="743"/>
      <c r="N26" s="747"/>
      <c r="P26" s="31"/>
      <c r="Q26" s="31"/>
      <c r="R26" s="31"/>
      <c r="S26" s="31"/>
      <c r="T26" s="31"/>
    </row>
    <row r="27" spans="1:20" s="37" customFormat="1" ht="12" customHeight="1">
      <c r="A27" s="751">
        <v>46225</v>
      </c>
      <c r="B27" s="740"/>
      <c r="C27" s="745"/>
      <c r="D27" s="745"/>
      <c r="E27" s="745"/>
      <c r="F27" s="745"/>
      <c r="G27" s="745"/>
      <c r="H27" s="745"/>
      <c r="I27" s="745"/>
      <c r="J27" s="745"/>
      <c r="K27" s="746"/>
      <c r="L27" s="745"/>
      <c r="M27" s="743"/>
      <c r="N27" s="747"/>
      <c r="P27" s="31"/>
      <c r="Q27" s="31"/>
      <c r="R27" s="31"/>
      <c r="S27" s="31"/>
      <c r="T27" s="31"/>
    </row>
    <row r="28" spans="1:20" s="37" customFormat="1" ht="12" customHeight="1">
      <c r="A28" s="751">
        <v>46226</v>
      </c>
      <c r="B28" s="740"/>
      <c r="C28" s="745"/>
      <c r="D28" s="745"/>
      <c r="E28" s="745"/>
      <c r="F28" s="745"/>
      <c r="G28" s="745"/>
      <c r="H28" s="745"/>
      <c r="I28" s="745"/>
      <c r="J28" s="745"/>
      <c r="K28" s="746"/>
      <c r="L28" s="745"/>
      <c r="M28" s="743"/>
      <c r="N28" s="747"/>
      <c r="P28" s="31"/>
      <c r="Q28" s="31"/>
      <c r="R28" s="31"/>
      <c r="S28" s="31"/>
      <c r="T28" s="31"/>
    </row>
    <row r="29" spans="1:20" s="37" customFormat="1" ht="12" customHeight="1">
      <c r="A29" s="751">
        <v>46227</v>
      </c>
      <c r="B29" s="740"/>
      <c r="C29" s="745"/>
      <c r="D29" s="745"/>
      <c r="E29" s="745"/>
      <c r="F29" s="745"/>
      <c r="G29" s="745"/>
      <c r="H29" s="745"/>
      <c r="I29" s="745"/>
      <c r="J29" s="745"/>
      <c r="K29" s="746"/>
      <c r="L29" s="745"/>
      <c r="M29" s="743"/>
      <c r="N29" s="747"/>
      <c r="P29" s="31"/>
      <c r="Q29" s="31"/>
      <c r="R29" s="31"/>
      <c r="S29" s="31"/>
      <c r="T29" s="31"/>
    </row>
    <row r="30" spans="1:20" s="37" customFormat="1" ht="12" customHeight="1">
      <c r="A30" s="751">
        <v>46228</v>
      </c>
      <c r="B30" s="740"/>
      <c r="C30" s="745"/>
      <c r="D30" s="745"/>
      <c r="E30" s="745"/>
      <c r="F30" s="745"/>
      <c r="G30" s="745"/>
      <c r="H30" s="745"/>
      <c r="I30" s="745"/>
      <c r="J30" s="745"/>
      <c r="K30" s="746"/>
      <c r="L30" s="745"/>
      <c r="M30" s="743"/>
      <c r="N30" s="747"/>
      <c r="P30" s="31"/>
      <c r="Q30" s="31"/>
      <c r="R30" s="31"/>
      <c r="S30" s="31"/>
      <c r="T30" s="31"/>
    </row>
    <row r="31" spans="1:20" s="37" customFormat="1" ht="12" customHeight="1">
      <c r="A31" s="751">
        <v>46229</v>
      </c>
      <c r="B31" s="740"/>
      <c r="C31" s="745"/>
      <c r="D31" s="745"/>
      <c r="E31" s="745"/>
      <c r="F31" s="745"/>
      <c r="G31" s="745"/>
      <c r="H31" s="745"/>
      <c r="I31" s="745"/>
      <c r="J31" s="745"/>
      <c r="K31" s="746"/>
      <c r="L31" s="745"/>
      <c r="M31" s="743"/>
      <c r="N31" s="747"/>
      <c r="P31" s="31"/>
      <c r="Q31" s="31"/>
      <c r="R31" s="31"/>
      <c r="S31" s="31"/>
      <c r="T31" s="31"/>
    </row>
    <row r="32" spans="1:20" s="37" customFormat="1" ht="12" customHeight="1">
      <c r="A32" s="751">
        <v>46230</v>
      </c>
      <c r="B32" s="740"/>
      <c r="C32" s="745"/>
      <c r="D32" s="745"/>
      <c r="E32" s="745"/>
      <c r="F32" s="745"/>
      <c r="G32" s="745"/>
      <c r="H32" s="745"/>
      <c r="I32" s="745"/>
      <c r="J32" s="745"/>
      <c r="K32" s="746"/>
      <c r="L32" s="745"/>
      <c r="M32" s="743"/>
      <c r="N32" s="747"/>
      <c r="P32" s="31"/>
      <c r="Q32" s="31"/>
      <c r="R32" s="31"/>
      <c r="S32" s="31"/>
      <c r="T32" s="31"/>
    </row>
    <row r="33" spans="1:20" s="37" customFormat="1" ht="12" customHeight="1">
      <c r="A33" s="751">
        <v>46231</v>
      </c>
      <c r="B33" s="740"/>
      <c r="C33" s="745"/>
      <c r="D33" s="745"/>
      <c r="E33" s="745"/>
      <c r="F33" s="745"/>
      <c r="G33" s="745"/>
      <c r="H33" s="745"/>
      <c r="I33" s="745"/>
      <c r="J33" s="745"/>
      <c r="K33" s="746"/>
      <c r="L33" s="745"/>
      <c r="M33" s="743"/>
      <c r="N33" s="747"/>
      <c r="P33" s="31"/>
      <c r="Q33" s="31"/>
      <c r="R33" s="31"/>
      <c r="S33" s="31"/>
      <c r="T33" s="31"/>
    </row>
    <row r="34" spans="1:20" s="37" customFormat="1" ht="12" customHeight="1">
      <c r="A34" s="751">
        <v>46232</v>
      </c>
      <c r="B34" s="740"/>
      <c r="C34" s="745"/>
      <c r="D34" s="745"/>
      <c r="E34" s="745"/>
      <c r="F34" s="745"/>
      <c r="G34" s="745"/>
      <c r="H34" s="745"/>
      <c r="I34" s="745"/>
      <c r="J34" s="745"/>
      <c r="K34" s="746"/>
      <c r="L34" s="745"/>
      <c r="M34" s="743"/>
      <c r="N34" s="749"/>
      <c r="P34" s="31"/>
      <c r="Q34" s="31"/>
      <c r="R34" s="31"/>
      <c r="S34" s="31"/>
      <c r="T34" s="31"/>
    </row>
    <row r="35" spans="1:20" s="37" customFormat="1" ht="12" customHeight="1">
      <c r="A35" s="751">
        <v>46233</v>
      </c>
      <c r="B35" s="740"/>
      <c r="C35" s="745"/>
      <c r="D35" s="745"/>
      <c r="E35" s="745"/>
      <c r="F35" s="745"/>
      <c r="G35" s="745"/>
      <c r="H35" s="745"/>
      <c r="I35" s="745"/>
      <c r="J35" s="745"/>
      <c r="K35" s="746"/>
      <c r="L35" s="745"/>
      <c r="M35" s="743"/>
      <c r="N35" s="749"/>
      <c r="P35" s="31"/>
      <c r="Q35" s="31"/>
      <c r="R35" s="31"/>
      <c r="S35" s="31"/>
      <c r="T35" s="31"/>
    </row>
    <row r="36" spans="1:20" s="37" customFormat="1" ht="12" customHeight="1" thickBot="1">
      <c r="A36" s="752">
        <v>46234</v>
      </c>
      <c r="B36" s="740"/>
      <c r="C36" s="745"/>
      <c r="D36" s="745"/>
      <c r="E36" s="745"/>
      <c r="F36" s="745"/>
      <c r="G36" s="745"/>
      <c r="H36" s="745"/>
      <c r="I36" s="745"/>
      <c r="J36" s="745"/>
      <c r="K36" s="746"/>
      <c r="L36" s="745"/>
      <c r="M36" s="743"/>
      <c r="N36" s="747"/>
      <c r="P36" s="31"/>
      <c r="Q36" s="31"/>
      <c r="R36" s="31"/>
      <c r="S36" s="31"/>
      <c r="T36" s="31"/>
    </row>
    <row r="37" spans="1:20" s="42" customFormat="1" ht="17.25" thickTop="1" thickBot="1">
      <c r="A37" s="246"/>
      <c r="B37" s="246"/>
      <c r="C37" s="694"/>
      <c r="D37" s="694"/>
      <c r="E37" s="694"/>
      <c r="F37" s="694"/>
      <c r="G37" s="694"/>
      <c r="H37" s="694"/>
      <c r="I37" s="694"/>
      <c r="J37" s="694"/>
      <c r="K37" s="696"/>
      <c r="L37" s="694"/>
      <c r="M37" s="47"/>
      <c r="N37" s="452"/>
      <c r="P37" s="84"/>
      <c r="Q37" s="84"/>
      <c r="R37" s="84"/>
      <c r="S37" s="84"/>
      <c r="T37" s="84"/>
    </row>
    <row r="38" spans="1:20" s="42" customFormat="1" ht="16.5" thickTop="1">
      <c r="A38" s="246"/>
      <c r="B38" s="246"/>
      <c r="C38" s="246"/>
      <c r="D38" s="246"/>
      <c r="E38" s="929" t="s">
        <v>201</v>
      </c>
      <c r="F38" s="929"/>
      <c r="G38" s="929"/>
      <c r="H38" s="644"/>
      <c r="I38" s="47"/>
      <c r="J38" s="645"/>
      <c r="K38" s="47"/>
      <c r="L38" s="47"/>
      <c r="M38" s="47"/>
      <c r="N38" s="452"/>
      <c r="P38" s="84"/>
      <c r="Q38" s="84"/>
      <c r="R38" s="84"/>
      <c r="S38" s="84"/>
      <c r="T38" s="84"/>
    </row>
    <row r="39" spans="1:20" s="42" customFormat="1" ht="15.75">
      <c r="A39" s="246"/>
      <c r="B39" s="246"/>
      <c r="C39" s="246"/>
      <c r="D39" s="246"/>
      <c r="E39" s="928" t="s">
        <v>231</v>
      </c>
      <c r="F39" s="928"/>
      <c r="G39" s="559">
        <f>H36</f>
        <v>0</v>
      </c>
      <c r="H39" s="634"/>
      <c r="I39" s="47"/>
      <c r="J39" s="47"/>
      <c r="K39" s="47"/>
      <c r="L39" s="47"/>
      <c r="M39" s="47"/>
      <c r="N39" s="452"/>
      <c r="P39" s="84"/>
      <c r="Q39" s="84"/>
      <c r="R39" s="84"/>
      <c r="S39" s="84"/>
      <c r="T39" s="84"/>
    </row>
    <row r="40" spans="1:20" s="42" customFormat="1" ht="15.75">
      <c r="A40" s="246"/>
      <c r="B40" s="246"/>
      <c r="C40" s="246"/>
      <c r="D40" s="246"/>
      <c r="E40" s="928" t="s">
        <v>232</v>
      </c>
      <c r="F40" s="928"/>
      <c r="G40" s="559">
        <f>D36</f>
        <v>0</v>
      </c>
      <c r="H40" s="634"/>
      <c r="I40" s="47"/>
      <c r="J40" s="47"/>
      <c r="K40" s="47"/>
      <c r="L40" s="47"/>
      <c r="M40" s="47"/>
      <c r="N40" s="452"/>
      <c r="P40" s="84"/>
      <c r="Q40" s="84"/>
      <c r="R40" s="84"/>
      <c r="S40" s="84"/>
      <c r="T40" s="84"/>
    </row>
    <row r="41" spans="1:20" s="42" customFormat="1" ht="15.75">
      <c r="A41" s="246"/>
      <c r="B41" s="246"/>
      <c r="C41" s="246"/>
      <c r="D41" s="246"/>
      <c r="E41" s="928" t="s">
        <v>233</v>
      </c>
      <c r="F41" s="928"/>
      <c r="G41" s="559">
        <f>G40-G39</f>
        <v>0</v>
      </c>
      <c r="H41" s="634"/>
      <c r="I41" s="47"/>
      <c r="J41" s="47"/>
      <c r="K41" s="47"/>
      <c r="L41" s="47"/>
      <c r="M41" s="47"/>
      <c r="N41" s="452"/>
      <c r="P41" s="84"/>
      <c r="Q41" s="84"/>
      <c r="R41" s="84"/>
      <c r="S41" s="84"/>
      <c r="T41" s="84"/>
    </row>
    <row r="42" spans="1:20" s="42" customFormat="1" ht="15.75">
      <c r="A42" s="246"/>
      <c r="B42" s="246"/>
      <c r="C42" s="246"/>
      <c r="D42" s="246"/>
      <c r="E42" s="928" t="s">
        <v>234</v>
      </c>
      <c r="F42" s="928"/>
      <c r="G42" s="560" t="e">
        <f>G39/G40</f>
        <v>#DIV/0!</v>
      </c>
      <c r="H42" s="466"/>
      <c r="I42" s="47"/>
      <c r="J42" s="47"/>
      <c r="K42" s="47"/>
      <c r="L42" s="47"/>
      <c r="M42" s="47"/>
      <c r="N42" s="452"/>
      <c r="P42" s="84"/>
      <c r="Q42" s="84"/>
      <c r="R42" s="84"/>
      <c r="S42" s="84"/>
      <c r="T42" s="84"/>
    </row>
    <row r="43" spans="1:20" s="42" customFormat="1" ht="15.75">
      <c r="A43" s="246"/>
      <c r="B43" s="246"/>
      <c r="C43" s="246"/>
      <c r="D43" s="246"/>
      <c r="E43" s="928"/>
      <c r="F43" s="928"/>
      <c r="G43" s="560"/>
      <c r="H43" s="466"/>
      <c r="I43" s="47"/>
      <c r="J43" s="47"/>
      <c r="K43" s="47"/>
      <c r="L43" s="47"/>
      <c r="M43" s="47"/>
      <c r="N43" s="452"/>
      <c r="P43" s="84"/>
      <c r="Q43" s="84"/>
      <c r="R43" s="84"/>
      <c r="S43" s="84"/>
      <c r="T43" s="84"/>
    </row>
    <row r="44" spans="1:20" s="42" customFormat="1" ht="15.75">
      <c r="A44" s="246"/>
      <c r="B44" s="246"/>
      <c r="C44" s="246"/>
      <c r="D44" s="246"/>
      <c r="E44" s="47"/>
      <c r="F44" s="47"/>
      <c r="G44" s="47"/>
      <c r="H44" s="47"/>
      <c r="I44" s="47"/>
      <c r="J44" s="47"/>
      <c r="K44" s="47"/>
      <c r="L44" s="47"/>
      <c r="M44" s="47"/>
      <c r="N44" s="452"/>
      <c r="P44" s="84"/>
      <c r="Q44" s="84"/>
      <c r="R44" s="84"/>
      <c r="S44" s="84"/>
      <c r="T44" s="84"/>
    </row>
    <row r="45" spans="1:20">
      <c r="E45" s="927" t="s">
        <v>235</v>
      </c>
      <c r="F45" s="927"/>
      <c r="G45" s="310">
        <f>C36</f>
        <v>0</v>
      </c>
    </row>
    <row r="46" spans="1:20" ht="30" customHeight="1">
      <c r="E46" s="927" t="s">
        <v>236</v>
      </c>
      <c r="F46" s="927"/>
      <c r="G46" s="310">
        <f>SUM(F36,I36)</f>
        <v>0</v>
      </c>
    </row>
    <row r="47" spans="1:20">
      <c r="E47" s="927" t="s">
        <v>237</v>
      </c>
      <c r="F47" s="927"/>
      <c r="G47" s="310" t="e">
        <f>#REF!</f>
        <v>#REF!</v>
      </c>
    </row>
    <row r="48" spans="1:20">
      <c r="E48" s="927" t="s">
        <v>238</v>
      </c>
      <c r="F48" s="927"/>
      <c r="G48" s="561" t="e">
        <f>G46/G45</f>
        <v>#DIV/0!</v>
      </c>
    </row>
  </sheetData>
  <mergeCells count="22">
    <mergeCell ref="E46:F46"/>
    <mergeCell ref="E48:F48"/>
    <mergeCell ref="E41:F41"/>
    <mergeCell ref="E45:F45"/>
    <mergeCell ref="Q19:T19"/>
    <mergeCell ref="E38:G38"/>
    <mergeCell ref="E39:F39"/>
    <mergeCell ref="E40:F40"/>
    <mergeCell ref="E42:F42"/>
    <mergeCell ref="E43:F43"/>
    <mergeCell ref="E47:F47"/>
    <mergeCell ref="Q20:T20"/>
    <mergeCell ref="Q18:T18"/>
    <mergeCell ref="Q17:T17"/>
    <mergeCell ref="A2:M2"/>
    <mergeCell ref="Q16:T16"/>
    <mergeCell ref="E3:I3"/>
    <mergeCell ref="P5:P6"/>
    <mergeCell ref="Q5:Q6"/>
    <mergeCell ref="R5:R6"/>
    <mergeCell ref="S5:S6"/>
    <mergeCell ref="T5:T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F8DF-CD6F-41F8-ACBD-443019669CBE}">
  <sheetPr codeName="Planilha7">
    <tabColor rgb="FFC00000"/>
  </sheetPr>
  <dimension ref="A2:AK41"/>
  <sheetViews>
    <sheetView showGridLines="0" zoomScale="70" zoomScaleNormal="70" workbookViewId="0">
      <pane ySplit="5" topLeftCell="A6" activePane="bottomLeft" state="frozen"/>
      <selection activeCell="I1" sqref="I1"/>
      <selection pane="bottomLeft" activeCell="AJ17" sqref="AJ17"/>
    </sheetView>
  </sheetViews>
  <sheetFormatPr defaultColWidth="9.5" defaultRowHeight="15"/>
  <cols>
    <col min="1" max="1" width="2.5" style="83" customWidth="1"/>
    <col min="2" max="2" width="17" style="86" customWidth="1"/>
    <col min="3" max="3" width="2.5" style="86" customWidth="1"/>
    <col min="4" max="4" width="19.5" style="90" customWidth="1"/>
    <col min="5" max="5" width="2.5" style="86" customWidth="1"/>
    <col min="6" max="6" width="20.5" style="90" customWidth="1"/>
    <col min="7" max="7" width="2.5" style="86" customWidth="1"/>
    <col min="8" max="9" width="13.5" style="430" bestFit="1" customWidth="1"/>
    <col min="10" max="10" width="13.5" style="129" customWidth="1"/>
    <col min="11" max="11" width="2.5" style="129" customWidth="1"/>
    <col min="12" max="12" width="13.5" style="90" bestFit="1" customWidth="1"/>
    <col min="13" max="13" width="3.5" style="86" customWidth="1"/>
    <col min="14" max="14" width="10.5" style="90" bestFit="1" customWidth="1"/>
    <col min="15" max="15" width="11.5" style="430" bestFit="1" customWidth="1"/>
    <col min="16" max="16" width="21.5" style="90" customWidth="1"/>
    <col min="17" max="17" width="2.5" style="90" customWidth="1"/>
    <col min="18" max="18" width="10.5" style="90" bestFit="1" customWidth="1"/>
    <col min="19" max="19" width="11.5" style="90" bestFit="1" customWidth="1"/>
    <col min="20" max="20" width="15.5" style="90" bestFit="1" customWidth="1"/>
    <col min="21" max="21" width="2.5" style="90" customWidth="1"/>
    <col min="22" max="22" width="11.5" style="90" customWidth="1"/>
    <col min="23" max="23" width="14.5" style="90" customWidth="1"/>
    <col min="24" max="24" width="15.5" style="90" bestFit="1" customWidth="1"/>
    <col min="25" max="25" width="4.5" style="83" customWidth="1"/>
    <col min="26" max="26" width="18.5" style="88" customWidth="1"/>
    <col min="27" max="27" width="19.5" style="88" customWidth="1"/>
    <col min="28" max="28" width="16.5" style="88" customWidth="1"/>
    <col min="29" max="29" width="3.5" style="83" customWidth="1"/>
    <col min="30" max="30" width="13.5" style="83" bestFit="1" customWidth="1"/>
    <col min="31" max="31" width="3.5" style="83" customWidth="1"/>
    <col min="32" max="32" width="44.5" style="83" customWidth="1"/>
    <col min="33" max="33" width="1.5" style="83" customWidth="1"/>
    <col min="34" max="34" width="14.5" style="83" customWidth="1"/>
    <col min="35" max="36" width="9.5" style="83" bestFit="1" customWidth="1"/>
    <col min="37" max="37" width="68.5" style="83" customWidth="1"/>
    <col min="38" max="39" width="9.5" style="83" bestFit="1" customWidth="1"/>
    <col min="40" max="16384" width="9.5" style="83"/>
  </cols>
  <sheetData>
    <row r="2" spans="1:37" s="85" customFormat="1" ht="33.75">
      <c r="B2" s="905" t="s">
        <v>169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905"/>
      <c r="Q2" s="905"/>
      <c r="R2" s="905"/>
      <c r="S2" s="905"/>
      <c r="T2" s="905"/>
      <c r="U2" s="905"/>
      <c r="V2" s="905"/>
      <c r="W2" s="905"/>
      <c r="X2" s="905"/>
      <c r="Y2" s="905"/>
      <c r="Z2" s="905"/>
      <c r="AA2" s="905"/>
      <c r="AB2" s="905"/>
      <c r="AC2" s="905"/>
      <c r="AD2" s="905"/>
      <c r="AF2" s="931" t="s">
        <v>239</v>
      </c>
      <c r="AG2" s="932"/>
      <c r="AH2" s="933"/>
    </row>
    <row r="3" spans="1:37" s="85" customFormat="1" ht="36">
      <c r="B3" s="229"/>
      <c r="C3" s="230"/>
      <c r="D3" s="292" t="s">
        <v>240</v>
      </c>
      <c r="E3" s="232"/>
      <c r="F3" s="292" t="s">
        <v>170</v>
      </c>
      <c r="G3" s="232"/>
      <c r="H3" s="906" t="s">
        <v>171</v>
      </c>
      <c r="I3" s="907"/>
      <c r="J3" s="937"/>
      <c r="K3" s="233"/>
      <c r="L3" s="292" t="s">
        <v>191</v>
      </c>
      <c r="M3" s="232"/>
      <c r="N3" s="908" t="s">
        <v>241</v>
      </c>
      <c r="O3" s="909"/>
      <c r="P3" s="910"/>
      <c r="Q3" s="233"/>
      <c r="R3" s="911" t="s">
        <v>242</v>
      </c>
      <c r="S3" s="912"/>
      <c r="T3" s="913"/>
      <c r="U3" s="233"/>
      <c r="V3" s="914" t="s">
        <v>174</v>
      </c>
      <c r="W3" s="915"/>
      <c r="X3" s="916"/>
      <c r="Y3" s="232"/>
      <c r="Z3" s="917" t="s">
        <v>175</v>
      </c>
      <c r="AA3" s="917"/>
      <c r="AB3" s="917"/>
      <c r="AF3" s="934"/>
      <c r="AG3" s="935"/>
      <c r="AH3" s="936"/>
    </row>
    <row r="4" spans="1:37" s="42" customFormat="1" ht="47.25">
      <c r="B4" s="124"/>
      <c r="C4" s="125"/>
      <c r="D4" s="918" t="s">
        <v>192</v>
      </c>
      <c r="E4" s="228"/>
      <c r="F4" s="918" t="s">
        <v>176</v>
      </c>
      <c r="G4" s="228"/>
      <c r="H4" s="425" t="s">
        <v>171</v>
      </c>
      <c r="I4" s="425" t="s">
        <v>171</v>
      </c>
      <c r="J4" s="293" t="s">
        <v>210</v>
      </c>
      <c r="K4" s="47"/>
      <c r="L4" s="294" t="s">
        <v>191</v>
      </c>
      <c r="M4" s="228"/>
      <c r="N4" s="295" t="s">
        <v>243</v>
      </c>
      <c r="O4" s="425" t="s">
        <v>179</v>
      </c>
      <c r="P4" s="294" t="s">
        <v>180</v>
      </c>
      <c r="R4" s="296" t="s">
        <v>181</v>
      </c>
      <c r="S4" s="294" t="s">
        <v>179</v>
      </c>
      <c r="T4" s="294" t="s">
        <v>181</v>
      </c>
      <c r="V4" s="249" t="s">
        <v>181</v>
      </c>
      <c r="W4" s="294" t="s">
        <v>179</v>
      </c>
      <c r="X4" s="294" t="s">
        <v>181</v>
      </c>
      <c r="Z4" s="297" t="s">
        <v>182</v>
      </c>
      <c r="AA4" s="293" t="s">
        <v>183</v>
      </c>
      <c r="AB4" s="294" t="s">
        <v>184</v>
      </c>
      <c r="AD4" s="320" t="s">
        <v>185</v>
      </c>
      <c r="AF4" s="934"/>
      <c r="AG4" s="935"/>
      <c r="AH4" s="936"/>
    </row>
    <row r="5" spans="1:37" s="85" customFormat="1" ht="31.5">
      <c r="B5" s="138" t="s">
        <v>186</v>
      </c>
      <c r="C5" s="136"/>
      <c r="D5" s="919"/>
      <c r="E5" s="136"/>
      <c r="F5" s="919"/>
      <c r="G5" s="136"/>
      <c r="H5" s="426" t="s">
        <v>244</v>
      </c>
      <c r="I5" s="426" t="s">
        <v>245</v>
      </c>
      <c r="J5" s="299" t="s">
        <v>246</v>
      </c>
      <c r="K5" s="300"/>
      <c r="L5" s="298" t="s">
        <v>247</v>
      </c>
      <c r="M5" s="136"/>
      <c r="N5" s="301" t="s">
        <v>191</v>
      </c>
      <c r="O5" s="426" t="s">
        <v>171</v>
      </c>
      <c r="P5" s="298" t="s">
        <v>190</v>
      </c>
      <c r="Q5" s="42"/>
      <c r="R5" s="302" t="s">
        <v>193</v>
      </c>
      <c r="S5" s="298" t="s">
        <v>171</v>
      </c>
      <c r="T5" s="421" t="s">
        <v>194</v>
      </c>
      <c r="U5" s="42"/>
      <c r="V5" s="248" t="s">
        <v>193</v>
      </c>
      <c r="W5" s="298" t="s">
        <v>171</v>
      </c>
      <c r="X5" s="421" t="s">
        <v>194</v>
      </c>
      <c r="Y5" s="228"/>
      <c r="Z5" s="322" t="s">
        <v>195</v>
      </c>
      <c r="AA5" s="322" t="s">
        <v>196</v>
      </c>
      <c r="AB5" s="323" t="s">
        <v>197</v>
      </c>
      <c r="AD5" s="321" t="s">
        <v>198</v>
      </c>
      <c r="AF5" s="934"/>
      <c r="AG5" s="935"/>
      <c r="AH5" s="936"/>
    </row>
    <row r="6" spans="1:37" s="85" customFormat="1" ht="21.75" thickTop="1" thickBot="1">
      <c r="B6" s="228"/>
      <c r="C6" s="136"/>
      <c r="D6" s="47"/>
      <c r="E6" s="136"/>
      <c r="F6" s="47"/>
      <c r="G6" s="136"/>
      <c r="H6" s="427"/>
      <c r="I6" s="427"/>
      <c r="J6" s="300"/>
      <c r="K6" s="300"/>
      <c r="L6" s="303"/>
      <c r="M6" s="136"/>
      <c r="N6" s="228"/>
      <c r="O6" s="438"/>
      <c r="P6" s="42"/>
      <c r="Q6" s="228"/>
      <c r="R6" s="228"/>
      <c r="S6" s="304"/>
      <c r="T6" s="42"/>
      <c r="U6" s="228"/>
      <c r="V6" s="228"/>
      <c r="W6" s="303"/>
      <c r="X6" s="228"/>
      <c r="Y6" s="228"/>
      <c r="Z6" s="42"/>
      <c r="AA6" s="42"/>
      <c r="AB6" s="42"/>
      <c r="AD6" s="42"/>
      <c r="AF6" s="122"/>
      <c r="AG6" s="122"/>
      <c r="AH6" s="122"/>
    </row>
    <row r="7" spans="1:37" s="338" customFormat="1" ht="16.5" thickTop="1" thickBot="1">
      <c r="B7" s="339">
        <v>46083</v>
      </c>
      <c r="C7" s="340"/>
      <c r="D7" s="341">
        <v>1800</v>
      </c>
      <c r="E7" s="342"/>
      <c r="F7" s="356">
        <v>0.35416666666666669</v>
      </c>
      <c r="G7" s="343"/>
      <c r="H7" s="456">
        <v>15</v>
      </c>
      <c r="I7" s="457">
        <f>SUM(O7,S7,W7)</f>
        <v>0.46017699115044247</v>
      </c>
      <c r="J7" s="344">
        <f>I7/H7</f>
        <v>3.0678466076696165E-2</v>
      </c>
      <c r="K7" s="345"/>
      <c r="L7" s="346">
        <v>52</v>
      </c>
      <c r="M7" s="340"/>
      <c r="N7" s="347">
        <v>52</v>
      </c>
      <c r="O7" s="351">
        <f>N7/113</f>
        <v>0.46017699115044247</v>
      </c>
      <c r="P7" s="418">
        <v>47103.530000000006</v>
      </c>
      <c r="Q7" s="348"/>
      <c r="R7" s="349">
        <v>0</v>
      </c>
      <c r="S7" s="346">
        <v>0</v>
      </c>
      <c r="T7" s="418">
        <v>0</v>
      </c>
      <c r="U7" s="348"/>
      <c r="V7" s="350">
        <v>0</v>
      </c>
      <c r="W7" s="346">
        <v>0</v>
      </c>
      <c r="X7" s="418">
        <v>0</v>
      </c>
      <c r="Y7" s="422"/>
      <c r="Z7" s="361">
        <f t="shared" ref="Z7:Z30" si="0">O7*AH$14</f>
        <v>3.7228318584070794</v>
      </c>
      <c r="AA7" s="351">
        <f t="shared" ref="AA7:AA30" si="1">AH$14*H7</f>
        <v>121.35</v>
      </c>
      <c r="AB7" s="352">
        <f>AA7-Z7</f>
        <v>117.62716814159292</v>
      </c>
      <c r="AD7" s="353">
        <f>H7*1.5</f>
        <v>22.5</v>
      </c>
    </row>
    <row r="8" spans="1:37" s="338" customFormat="1" ht="15.75" thickTop="1">
      <c r="B8" s="354">
        <v>46084</v>
      </c>
      <c r="C8" s="342"/>
      <c r="D8" s="355">
        <v>1800</v>
      </c>
      <c r="E8" s="342"/>
      <c r="F8" s="356">
        <v>0.35416666666666669</v>
      </c>
      <c r="G8" s="343"/>
      <c r="H8" s="458">
        <v>15</v>
      </c>
      <c r="I8" s="440">
        <f>SUM(O8,S8,W8)</f>
        <v>10.938053097345133</v>
      </c>
      <c r="J8" s="454">
        <f>I8/H8</f>
        <v>0.72920353982300889</v>
      </c>
      <c r="K8" s="345"/>
      <c r="L8" s="357">
        <v>1236</v>
      </c>
      <c r="M8" s="340"/>
      <c r="N8" s="358">
        <v>1236</v>
      </c>
      <c r="O8" s="440">
        <f>N8/113</f>
        <v>10.938053097345133</v>
      </c>
      <c r="P8" s="419">
        <v>1319367.8400000008</v>
      </c>
      <c r="Q8" s="348"/>
      <c r="R8" s="359">
        <v>0</v>
      </c>
      <c r="S8" s="357">
        <v>0</v>
      </c>
      <c r="T8" s="419">
        <v>0</v>
      </c>
      <c r="U8" s="348"/>
      <c r="V8" s="360">
        <v>0</v>
      </c>
      <c r="W8" s="357">
        <v>0</v>
      </c>
      <c r="X8" s="419">
        <v>0</v>
      </c>
      <c r="Y8" s="422"/>
      <c r="Z8" s="361">
        <f t="shared" si="0"/>
        <v>88.48884955752213</v>
      </c>
      <c r="AA8" s="361">
        <f t="shared" si="1"/>
        <v>121.35</v>
      </c>
      <c r="AB8" s="353">
        <f>AA8-Z8</f>
        <v>32.861150442477864</v>
      </c>
      <c r="AD8" s="353">
        <f>H8*1.5</f>
        <v>22.5</v>
      </c>
      <c r="AF8" s="362" t="s">
        <v>248</v>
      </c>
      <c r="AG8" s="363"/>
      <c r="AH8" s="364">
        <v>16</v>
      </c>
      <c r="AJ8" s="334">
        <v>1</v>
      </c>
      <c r="AK8" s="335" t="s">
        <v>62</v>
      </c>
    </row>
    <row r="9" spans="1:37" s="338" customFormat="1">
      <c r="B9" s="354">
        <v>46085</v>
      </c>
      <c r="C9" s="342"/>
      <c r="D9" s="355">
        <v>1800</v>
      </c>
      <c r="E9" s="342"/>
      <c r="F9" s="356">
        <v>0.35416666666666669</v>
      </c>
      <c r="G9" s="343"/>
      <c r="H9" s="458">
        <v>14</v>
      </c>
      <c r="I9" s="440">
        <f>SUM(O9,S9,W9)</f>
        <v>9.7610619469026556</v>
      </c>
      <c r="J9" s="454">
        <f>I9/H9</f>
        <v>0.69721871049304684</v>
      </c>
      <c r="K9" s="345"/>
      <c r="L9" s="357">
        <v>1103</v>
      </c>
      <c r="M9" s="340"/>
      <c r="N9" s="358">
        <v>1103</v>
      </c>
      <c r="O9" s="440">
        <f>N9/113</f>
        <v>9.7610619469026556</v>
      </c>
      <c r="P9" s="419">
        <v>1368788.9000000018</v>
      </c>
      <c r="Q9" s="348"/>
      <c r="R9" s="359">
        <v>0</v>
      </c>
      <c r="S9" s="357">
        <v>0</v>
      </c>
      <c r="T9" s="419">
        <v>0</v>
      </c>
      <c r="U9" s="348"/>
      <c r="V9" s="360">
        <v>0</v>
      </c>
      <c r="W9" s="357">
        <v>0</v>
      </c>
      <c r="X9" s="419">
        <v>0</v>
      </c>
      <c r="Y9" s="423"/>
      <c r="Z9" s="361">
        <f t="shared" si="0"/>
        <v>78.966991150442482</v>
      </c>
      <c r="AA9" s="361">
        <f t="shared" si="1"/>
        <v>113.25999999999999</v>
      </c>
      <c r="AB9" s="353">
        <f>AA9-Z9</f>
        <v>34.293008849557509</v>
      </c>
      <c r="AD9" s="353">
        <f>H9*1.5</f>
        <v>21</v>
      </c>
      <c r="AF9" s="365"/>
      <c r="AG9" s="363"/>
      <c r="AH9" s="366"/>
      <c r="AJ9" s="334">
        <v>2</v>
      </c>
      <c r="AK9" s="335" t="s">
        <v>67</v>
      </c>
    </row>
    <row r="10" spans="1:37" s="367" customFormat="1">
      <c r="B10" s="354">
        <v>46086</v>
      </c>
      <c r="C10" s="342"/>
      <c r="D10" s="355">
        <v>1800</v>
      </c>
      <c r="E10" s="342"/>
      <c r="F10" s="356">
        <v>0.35416666666666669</v>
      </c>
      <c r="G10" s="343"/>
      <c r="H10" s="458">
        <v>13</v>
      </c>
      <c r="I10" s="440">
        <f>SUM(O10,S10,W10)</f>
        <v>12.044247787610619</v>
      </c>
      <c r="J10" s="454">
        <f>I10/H10</f>
        <v>0.92648059904697067</v>
      </c>
      <c r="K10" s="345"/>
      <c r="L10" s="357">
        <v>1361</v>
      </c>
      <c r="M10" s="340"/>
      <c r="N10" s="358">
        <v>1361</v>
      </c>
      <c r="O10" s="440">
        <f>N10/113</f>
        <v>12.044247787610619</v>
      </c>
      <c r="P10" s="419">
        <v>1290603.0199999979</v>
      </c>
      <c r="Q10" s="348"/>
      <c r="R10" s="359">
        <v>0</v>
      </c>
      <c r="S10" s="357">
        <v>0</v>
      </c>
      <c r="T10" s="419">
        <v>0</v>
      </c>
      <c r="U10" s="348"/>
      <c r="V10" s="360">
        <v>0</v>
      </c>
      <c r="W10" s="357">
        <v>0</v>
      </c>
      <c r="X10" s="419">
        <v>0</v>
      </c>
      <c r="Y10" s="423"/>
      <c r="Z10" s="361">
        <f t="shared" si="0"/>
        <v>97.437964601769906</v>
      </c>
      <c r="AA10" s="361">
        <f t="shared" si="1"/>
        <v>105.17</v>
      </c>
      <c r="AB10" s="353">
        <f>AA10-Z10</f>
        <v>7.7320353982300958</v>
      </c>
      <c r="AD10" s="353">
        <f>H10*1.5</f>
        <v>19.5</v>
      </c>
      <c r="AF10" s="368" t="s">
        <v>249</v>
      </c>
      <c r="AG10" s="363"/>
      <c r="AH10" s="369">
        <v>1800</v>
      </c>
      <c r="AJ10" s="334">
        <v>3</v>
      </c>
      <c r="AK10" s="335" t="s">
        <v>88</v>
      </c>
    </row>
    <row r="11" spans="1:37" s="367" customFormat="1">
      <c r="B11" s="354">
        <v>46087</v>
      </c>
      <c r="C11" s="342"/>
      <c r="D11" s="355">
        <v>1800</v>
      </c>
      <c r="E11" s="342"/>
      <c r="F11" s="356">
        <v>0.35416666666666669</v>
      </c>
      <c r="G11" s="343"/>
      <c r="H11" s="458">
        <v>12</v>
      </c>
      <c r="I11" s="440">
        <f>SUM(O11,S11,W11)</f>
        <v>10.309734513274336</v>
      </c>
      <c r="J11" s="454">
        <f>I11/H11</f>
        <v>0.85914454277286134</v>
      </c>
      <c r="K11" s="345"/>
      <c r="L11" s="357">
        <v>1165</v>
      </c>
      <c r="M11" s="340"/>
      <c r="N11" s="358">
        <v>1165</v>
      </c>
      <c r="O11" s="440">
        <f>N11/113</f>
        <v>10.309734513274336</v>
      </c>
      <c r="P11" s="419">
        <v>1202793.4700000002</v>
      </c>
      <c r="Q11" s="348"/>
      <c r="R11" s="359">
        <v>0</v>
      </c>
      <c r="S11" s="357">
        <v>0</v>
      </c>
      <c r="T11" s="419">
        <v>0</v>
      </c>
      <c r="U11" s="348"/>
      <c r="V11" s="360">
        <v>0</v>
      </c>
      <c r="W11" s="357">
        <v>0</v>
      </c>
      <c r="X11" s="419">
        <v>0</v>
      </c>
      <c r="Y11" s="423"/>
      <c r="Z11" s="361">
        <f t="shared" si="0"/>
        <v>83.405752212389373</v>
      </c>
      <c r="AA11" s="361">
        <f t="shared" si="1"/>
        <v>97.08</v>
      </c>
      <c r="AB11" s="353">
        <f>AA11-Z11</f>
        <v>13.674247787610625</v>
      </c>
      <c r="AD11" s="353">
        <f>H11*1.5</f>
        <v>18</v>
      </c>
      <c r="AF11" s="365"/>
      <c r="AG11" s="363"/>
      <c r="AH11" s="366"/>
      <c r="AJ11" s="334">
        <v>4</v>
      </c>
      <c r="AK11" s="336" t="s">
        <v>91</v>
      </c>
    </row>
    <row r="12" spans="1:37" s="383" customFormat="1">
      <c r="A12" s="370"/>
      <c r="B12" s="371">
        <v>46088</v>
      </c>
      <c r="C12" s="372"/>
      <c r="D12" s="373">
        <v>0</v>
      </c>
      <c r="E12" s="372"/>
      <c r="F12" s="374">
        <v>0</v>
      </c>
      <c r="G12" s="375"/>
      <c r="H12" s="459">
        <v>0</v>
      </c>
      <c r="I12" s="439">
        <v>0</v>
      </c>
      <c r="J12" s="455">
        <v>0</v>
      </c>
      <c r="K12" s="377"/>
      <c r="L12" s="373" t="s">
        <v>37</v>
      </c>
      <c r="M12" s="378"/>
      <c r="N12" s="376" t="s">
        <v>37</v>
      </c>
      <c r="O12" s="439">
        <v>0</v>
      </c>
      <c r="P12" s="379">
        <v>0</v>
      </c>
      <c r="Q12" s="380"/>
      <c r="R12" s="376">
        <v>0</v>
      </c>
      <c r="S12" s="373">
        <v>0</v>
      </c>
      <c r="T12" s="379">
        <v>0</v>
      </c>
      <c r="U12" s="380"/>
      <c r="V12" s="376">
        <v>0</v>
      </c>
      <c r="W12" s="373">
        <v>0</v>
      </c>
      <c r="X12" s="379">
        <v>0</v>
      </c>
      <c r="Y12" s="424"/>
      <c r="Z12" s="381">
        <f t="shared" si="0"/>
        <v>0</v>
      </c>
      <c r="AA12" s="381">
        <f t="shared" si="1"/>
        <v>0</v>
      </c>
      <c r="AB12" s="382">
        <v>0</v>
      </c>
      <c r="AD12" s="384">
        <v>0</v>
      </c>
      <c r="AF12" s="368" t="s">
        <v>250</v>
      </c>
      <c r="AG12" s="385"/>
      <c r="AH12" s="369">
        <v>113</v>
      </c>
      <c r="AJ12" s="334">
        <v>5</v>
      </c>
      <c r="AK12" s="335" t="s">
        <v>99</v>
      </c>
    </row>
    <row r="13" spans="1:37" s="383" customFormat="1">
      <c r="A13" s="370"/>
      <c r="B13" s="371">
        <v>46089</v>
      </c>
      <c r="C13" s="372"/>
      <c r="D13" s="373">
        <v>0</v>
      </c>
      <c r="E13" s="372"/>
      <c r="F13" s="386">
        <v>0</v>
      </c>
      <c r="G13" s="375"/>
      <c r="H13" s="459">
        <v>0</v>
      </c>
      <c r="I13" s="439">
        <v>0</v>
      </c>
      <c r="J13" s="455">
        <v>0</v>
      </c>
      <c r="K13" s="377"/>
      <c r="L13" s="373" t="s">
        <v>37</v>
      </c>
      <c r="M13" s="378"/>
      <c r="N13" s="376" t="s">
        <v>37</v>
      </c>
      <c r="O13" s="439">
        <v>0</v>
      </c>
      <c r="P13" s="379">
        <v>0</v>
      </c>
      <c r="Q13" s="380"/>
      <c r="R13" s="376">
        <v>0</v>
      </c>
      <c r="S13" s="373">
        <v>0</v>
      </c>
      <c r="T13" s="379">
        <v>0</v>
      </c>
      <c r="U13" s="380"/>
      <c r="V13" s="376">
        <v>0</v>
      </c>
      <c r="W13" s="373">
        <v>0</v>
      </c>
      <c r="X13" s="379">
        <v>0</v>
      </c>
      <c r="Y13" s="424"/>
      <c r="Z13" s="387">
        <f t="shared" si="0"/>
        <v>0</v>
      </c>
      <c r="AA13" s="387">
        <f t="shared" si="1"/>
        <v>0</v>
      </c>
      <c r="AB13" s="388">
        <v>0</v>
      </c>
      <c r="AD13" s="384">
        <v>0</v>
      </c>
      <c r="AF13" s="389"/>
      <c r="AG13" s="390"/>
      <c r="AH13" s="391"/>
      <c r="AJ13" s="334">
        <v>6</v>
      </c>
      <c r="AK13" s="336" t="s">
        <v>100</v>
      </c>
    </row>
    <row r="14" spans="1:37" s="367" customFormat="1">
      <c r="B14" s="354">
        <v>46090</v>
      </c>
      <c r="C14" s="342"/>
      <c r="D14" s="355">
        <v>1800</v>
      </c>
      <c r="E14" s="342"/>
      <c r="F14" s="356">
        <v>0.35416666666666669</v>
      </c>
      <c r="G14" s="343"/>
      <c r="H14" s="458">
        <v>15</v>
      </c>
      <c r="I14" s="440">
        <f>SUM(O14,S14,W14)</f>
        <v>11.91150442477876</v>
      </c>
      <c r="J14" s="454">
        <f>I14/H14</f>
        <v>0.7941002949852507</v>
      </c>
      <c r="K14" s="345"/>
      <c r="L14" s="357">
        <v>1346</v>
      </c>
      <c r="M14" s="340"/>
      <c r="N14" s="358">
        <v>1346</v>
      </c>
      <c r="O14" s="440">
        <f>N14/113</f>
        <v>11.91150442477876</v>
      </c>
      <c r="P14" s="419">
        <v>991172.68000000203</v>
      </c>
      <c r="Q14" s="348"/>
      <c r="R14" s="359">
        <v>0</v>
      </c>
      <c r="S14" s="357">
        <v>0</v>
      </c>
      <c r="T14" s="419">
        <v>0</v>
      </c>
      <c r="U14" s="348"/>
      <c r="V14" s="360">
        <v>0</v>
      </c>
      <c r="W14" s="357">
        <v>0</v>
      </c>
      <c r="X14" s="419">
        <v>0</v>
      </c>
      <c r="Y14" s="423"/>
      <c r="Z14" s="361">
        <f t="shared" si="0"/>
        <v>96.364070796460169</v>
      </c>
      <c r="AA14" s="361">
        <f t="shared" si="1"/>
        <v>121.35</v>
      </c>
      <c r="AB14" s="353">
        <f>AA14-Z14</f>
        <v>24.985929203539825</v>
      </c>
      <c r="AD14" s="353">
        <f>H14*1.5</f>
        <v>22.5</v>
      </c>
      <c r="AF14" s="368" t="s">
        <v>251</v>
      </c>
      <c r="AG14" s="363"/>
      <c r="AH14" s="392">
        <v>8.09</v>
      </c>
      <c r="AJ14" s="334">
        <v>7</v>
      </c>
      <c r="AK14" s="335" t="s">
        <v>110</v>
      </c>
    </row>
    <row r="15" spans="1:37" s="367" customFormat="1">
      <c r="B15" s="354">
        <v>46091</v>
      </c>
      <c r="C15" s="342"/>
      <c r="D15" s="355">
        <v>1800</v>
      </c>
      <c r="E15" s="342"/>
      <c r="F15" s="356">
        <v>0.35416666666666669</v>
      </c>
      <c r="G15" s="343"/>
      <c r="H15" s="458">
        <v>15</v>
      </c>
      <c r="I15" s="440">
        <f>SUM(O15,S15,W15)</f>
        <v>7.884955752212389</v>
      </c>
      <c r="J15" s="454">
        <f>I15/H15</f>
        <v>0.52566371681415924</v>
      </c>
      <c r="K15" s="345"/>
      <c r="L15" s="357">
        <v>891</v>
      </c>
      <c r="M15" s="340"/>
      <c r="N15" s="358">
        <v>891</v>
      </c>
      <c r="O15" s="440">
        <f>N15/113</f>
        <v>7.884955752212389</v>
      </c>
      <c r="P15" s="419">
        <v>1150633.4199999997</v>
      </c>
      <c r="Q15" s="348"/>
      <c r="R15" s="359">
        <v>0</v>
      </c>
      <c r="S15" s="357">
        <v>0</v>
      </c>
      <c r="T15" s="419">
        <v>0</v>
      </c>
      <c r="U15" s="348"/>
      <c r="V15" s="360">
        <v>0</v>
      </c>
      <c r="W15" s="357">
        <v>0</v>
      </c>
      <c r="X15" s="419">
        <v>0</v>
      </c>
      <c r="Y15" s="423"/>
      <c r="Z15" s="361">
        <f t="shared" si="0"/>
        <v>63.789292035398226</v>
      </c>
      <c r="AA15" s="361">
        <f t="shared" si="1"/>
        <v>121.35</v>
      </c>
      <c r="AB15" s="353">
        <f>AA15-Z15</f>
        <v>57.560707964601768</v>
      </c>
      <c r="AD15" s="353">
        <f>H15*1.5</f>
        <v>22.5</v>
      </c>
      <c r="AF15" s="393"/>
      <c r="AG15" s="394"/>
      <c r="AH15" s="395"/>
      <c r="AJ15" s="334">
        <v>8</v>
      </c>
      <c r="AK15" s="335" t="s">
        <v>115</v>
      </c>
    </row>
    <row r="16" spans="1:37" s="383" customFormat="1" ht="15.75" thickBot="1">
      <c r="B16" s="354">
        <v>46092</v>
      </c>
      <c r="C16" s="342"/>
      <c r="D16" s="355">
        <v>1800</v>
      </c>
      <c r="E16" s="342"/>
      <c r="F16" s="356">
        <v>0.35416666666666669</v>
      </c>
      <c r="G16" s="343"/>
      <c r="H16" s="458">
        <v>15</v>
      </c>
      <c r="I16" s="440">
        <f>SUM(O16,S16,W16)</f>
        <v>12.336283185840708</v>
      </c>
      <c r="J16" s="454">
        <f>I16/H16</f>
        <v>0.82241887905604716</v>
      </c>
      <c r="K16" s="345"/>
      <c r="L16" s="357">
        <v>1394</v>
      </c>
      <c r="M16" s="340"/>
      <c r="N16" s="358">
        <v>1394</v>
      </c>
      <c r="O16" s="440">
        <f>N16/113</f>
        <v>12.336283185840708</v>
      </c>
      <c r="P16" s="419">
        <v>1470827.5599999975</v>
      </c>
      <c r="Q16" s="348"/>
      <c r="R16" s="359">
        <v>0</v>
      </c>
      <c r="S16" s="357">
        <v>0</v>
      </c>
      <c r="T16" s="419">
        <v>0</v>
      </c>
      <c r="U16" s="348"/>
      <c r="V16" s="360">
        <v>0</v>
      </c>
      <c r="W16" s="357">
        <v>0</v>
      </c>
      <c r="X16" s="419">
        <v>0</v>
      </c>
      <c r="Y16" s="423"/>
      <c r="Z16" s="361">
        <f t="shared" si="0"/>
        <v>99.80053097345133</v>
      </c>
      <c r="AA16" s="361">
        <f t="shared" si="1"/>
        <v>121.35</v>
      </c>
      <c r="AB16" s="353">
        <f>AA16-Z16</f>
        <v>21.549469026548664</v>
      </c>
      <c r="AC16" s="367"/>
      <c r="AD16" s="353">
        <f>H16*1.5</f>
        <v>22.5</v>
      </c>
      <c r="AF16" s="396" t="s">
        <v>252</v>
      </c>
      <c r="AG16" s="363"/>
      <c r="AH16" s="397">
        <v>129.44</v>
      </c>
      <c r="AJ16" s="334">
        <v>9</v>
      </c>
      <c r="AK16" s="335" t="s">
        <v>117</v>
      </c>
    </row>
    <row r="17" spans="1:37" s="383" customFormat="1" ht="15.75" thickTop="1">
      <c r="B17" s="354">
        <v>46093</v>
      </c>
      <c r="C17" s="342"/>
      <c r="D17" s="355">
        <v>1800</v>
      </c>
      <c r="E17" s="342"/>
      <c r="F17" s="356">
        <v>0.35416666666666669</v>
      </c>
      <c r="G17" s="343"/>
      <c r="H17" s="458">
        <v>15</v>
      </c>
      <c r="I17" s="460">
        <f>SUM(O17,S17,W17)</f>
        <v>15.212389380530974</v>
      </c>
      <c r="J17" s="415">
        <f>I17/H17</f>
        <v>1.0141592920353983</v>
      </c>
      <c r="K17" s="345"/>
      <c r="L17" s="417">
        <v>1719</v>
      </c>
      <c r="M17" s="340"/>
      <c r="N17" s="416">
        <v>1719</v>
      </c>
      <c r="O17" s="440">
        <f>N17/113</f>
        <v>15.212389380530974</v>
      </c>
      <c r="P17" s="419">
        <v>1210928.0900000001</v>
      </c>
      <c r="Q17" s="348"/>
      <c r="R17" s="359">
        <v>0</v>
      </c>
      <c r="S17" s="357">
        <v>0</v>
      </c>
      <c r="T17" s="419">
        <v>0</v>
      </c>
      <c r="U17" s="348"/>
      <c r="V17" s="360">
        <v>0</v>
      </c>
      <c r="W17" s="357">
        <v>0</v>
      </c>
      <c r="X17" s="419">
        <v>0</v>
      </c>
      <c r="Y17" s="423"/>
      <c r="Z17" s="361">
        <f t="shared" si="0"/>
        <v>123.06823008849558</v>
      </c>
      <c r="AA17" s="361">
        <f t="shared" si="1"/>
        <v>121.35</v>
      </c>
      <c r="AB17" s="412">
        <f>AA17-Z17</f>
        <v>-1.7182300884955879</v>
      </c>
      <c r="AC17" s="367"/>
      <c r="AD17" s="353">
        <f>H17*1.5</f>
        <v>22.5</v>
      </c>
      <c r="AF17" s="367"/>
      <c r="AG17" s="367"/>
      <c r="AH17" s="367"/>
      <c r="AJ17" s="334">
        <v>10</v>
      </c>
      <c r="AK17" s="335" t="s">
        <v>118</v>
      </c>
    </row>
    <row r="18" spans="1:37" s="367" customFormat="1">
      <c r="B18" s="354">
        <v>46094</v>
      </c>
      <c r="C18" s="342"/>
      <c r="D18" s="355">
        <v>1800</v>
      </c>
      <c r="E18" s="342"/>
      <c r="F18" s="356">
        <v>0.35416666666666669</v>
      </c>
      <c r="G18" s="343"/>
      <c r="H18" s="458">
        <v>15</v>
      </c>
      <c r="I18" s="440">
        <f>SUM(O18,S18,W18)</f>
        <v>13.63716814159292</v>
      </c>
      <c r="J18" s="454">
        <f>I18/H18</f>
        <v>0.90914454277286127</v>
      </c>
      <c r="K18" s="345"/>
      <c r="L18" s="357">
        <v>1541</v>
      </c>
      <c r="M18" s="340"/>
      <c r="N18" s="358">
        <v>1541</v>
      </c>
      <c r="O18" s="440">
        <f>N18/113</f>
        <v>13.63716814159292</v>
      </c>
      <c r="P18" s="419">
        <v>1923852.689999999</v>
      </c>
      <c r="Q18" s="348"/>
      <c r="R18" s="359">
        <v>0</v>
      </c>
      <c r="S18" s="357">
        <v>0</v>
      </c>
      <c r="T18" s="419">
        <v>0</v>
      </c>
      <c r="U18" s="348"/>
      <c r="V18" s="360">
        <v>0</v>
      </c>
      <c r="W18" s="357">
        <v>0</v>
      </c>
      <c r="X18" s="419">
        <v>0</v>
      </c>
      <c r="Y18" s="423"/>
      <c r="Z18" s="361">
        <f t="shared" si="0"/>
        <v>110.32469026548672</v>
      </c>
      <c r="AA18" s="361">
        <f t="shared" si="1"/>
        <v>121.35</v>
      </c>
      <c r="AB18" s="353">
        <f>AA18-Z18</f>
        <v>11.025309734513272</v>
      </c>
      <c r="AD18" s="353">
        <f>H18*1.5</f>
        <v>22.5</v>
      </c>
      <c r="AF18" s="338" t="s">
        <v>253</v>
      </c>
      <c r="AG18" s="338"/>
      <c r="AH18" s="411">
        <f>AH12/AH14</f>
        <v>13.967861557478368</v>
      </c>
      <c r="AJ18" s="334">
        <v>11</v>
      </c>
      <c r="AK18" s="335" t="s">
        <v>254</v>
      </c>
    </row>
    <row r="19" spans="1:37" s="383" customFormat="1">
      <c r="A19" s="370"/>
      <c r="B19" s="371">
        <v>46095</v>
      </c>
      <c r="C19" s="372"/>
      <c r="D19" s="373">
        <v>1800</v>
      </c>
      <c r="E19" s="372"/>
      <c r="F19" s="386">
        <v>0</v>
      </c>
      <c r="G19" s="375"/>
      <c r="H19" s="459">
        <v>0</v>
      </c>
      <c r="I19" s="439">
        <v>0</v>
      </c>
      <c r="J19" s="455">
        <v>0</v>
      </c>
      <c r="K19" s="377"/>
      <c r="L19" s="373" t="s">
        <v>37</v>
      </c>
      <c r="M19" s="378"/>
      <c r="N19" s="376" t="s">
        <v>37</v>
      </c>
      <c r="O19" s="439">
        <v>0</v>
      </c>
      <c r="P19" s="379">
        <v>0</v>
      </c>
      <c r="Q19" s="380"/>
      <c r="R19" s="376">
        <v>0</v>
      </c>
      <c r="S19" s="373">
        <v>0</v>
      </c>
      <c r="T19" s="379">
        <v>0</v>
      </c>
      <c r="U19" s="380"/>
      <c r="V19" s="376">
        <v>0</v>
      </c>
      <c r="W19" s="373">
        <v>0</v>
      </c>
      <c r="X19" s="379">
        <v>0</v>
      </c>
      <c r="Y19" s="424"/>
      <c r="Z19" s="398">
        <f t="shared" si="0"/>
        <v>0</v>
      </c>
      <c r="AA19" s="398">
        <f t="shared" si="1"/>
        <v>0</v>
      </c>
      <c r="AB19" s="384">
        <v>0</v>
      </c>
      <c r="AD19" s="384">
        <v>0</v>
      </c>
      <c r="AF19" s="399"/>
      <c r="AG19" s="399"/>
      <c r="AH19" s="399"/>
      <c r="AJ19" s="334">
        <v>12</v>
      </c>
      <c r="AK19" s="335" t="s">
        <v>129</v>
      </c>
    </row>
    <row r="20" spans="1:37" s="383" customFormat="1" ht="15.75" thickBot="1">
      <c r="A20" s="370"/>
      <c r="B20" s="371">
        <v>46096</v>
      </c>
      <c r="C20" s="372"/>
      <c r="D20" s="373">
        <v>1800</v>
      </c>
      <c r="E20" s="372"/>
      <c r="F20" s="386">
        <v>0</v>
      </c>
      <c r="G20" s="375"/>
      <c r="H20" s="459">
        <v>0</v>
      </c>
      <c r="I20" s="439">
        <v>0</v>
      </c>
      <c r="J20" s="455">
        <v>0</v>
      </c>
      <c r="K20" s="377"/>
      <c r="L20" s="373" t="s">
        <v>37</v>
      </c>
      <c r="M20" s="378"/>
      <c r="N20" s="376" t="s">
        <v>37</v>
      </c>
      <c r="O20" s="439">
        <v>0</v>
      </c>
      <c r="P20" s="379">
        <v>0</v>
      </c>
      <c r="Q20" s="380"/>
      <c r="R20" s="376">
        <v>0</v>
      </c>
      <c r="S20" s="373">
        <v>0</v>
      </c>
      <c r="T20" s="379">
        <v>0</v>
      </c>
      <c r="U20" s="380"/>
      <c r="V20" s="376">
        <v>0</v>
      </c>
      <c r="W20" s="373">
        <v>0</v>
      </c>
      <c r="X20" s="379">
        <v>0</v>
      </c>
      <c r="Y20" s="424"/>
      <c r="Z20" s="398">
        <f t="shared" si="0"/>
        <v>0</v>
      </c>
      <c r="AA20" s="398">
        <f t="shared" si="1"/>
        <v>0</v>
      </c>
      <c r="AB20" s="384">
        <v>0</v>
      </c>
      <c r="AD20" s="384">
        <v>0</v>
      </c>
      <c r="AG20" s="399"/>
      <c r="AH20" s="399"/>
      <c r="AJ20" s="334">
        <v>13</v>
      </c>
      <c r="AK20" s="335" t="s">
        <v>142</v>
      </c>
    </row>
    <row r="21" spans="1:37" s="367" customFormat="1" ht="15.75" thickTop="1">
      <c r="B21" s="354">
        <v>46097</v>
      </c>
      <c r="C21" s="342"/>
      <c r="D21" s="355">
        <v>1800</v>
      </c>
      <c r="E21" s="342"/>
      <c r="F21" s="356">
        <v>0.35416666666666669</v>
      </c>
      <c r="G21" s="343"/>
      <c r="H21" s="458">
        <v>16</v>
      </c>
      <c r="I21" s="440">
        <f t="shared" ref="I21:I28" si="2">SUM(O21,S21,W21)</f>
        <v>10.991150442477876</v>
      </c>
      <c r="J21" s="454">
        <f>I21/H21</f>
        <v>0.68694690265486724</v>
      </c>
      <c r="K21" s="345"/>
      <c r="L21" s="400">
        <v>1242</v>
      </c>
      <c r="M21" s="340"/>
      <c r="N21" s="432">
        <v>1242</v>
      </c>
      <c r="O21" s="440">
        <f t="shared" ref="O21:O26" si="3">N21/113</f>
        <v>10.991150442477876</v>
      </c>
      <c r="P21" s="436">
        <v>883668.12999999931</v>
      </c>
      <c r="Q21" s="348"/>
      <c r="R21" s="359">
        <v>0</v>
      </c>
      <c r="S21" s="357">
        <v>0</v>
      </c>
      <c r="T21" s="419">
        <v>0</v>
      </c>
      <c r="U21" s="348"/>
      <c r="V21" s="360">
        <v>0</v>
      </c>
      <c r="W21" s="357">
        <v>0</v>
      </c>
      <c r="X21" s="419">
        <v>0</v>
      </c>
      <c r="Y21" s="423"/>
      <c r="Z21" s="361">
        <f t="shared" si="0"/>
        <v>88.918407079646016</v>
      </c>
      <c r="AA21" s="361">
        <f t="shared" si="1"/>
        <v>129.44</v>
      </c>
      <c r="AB21" s="353">
        <f t="shared" ref="AB21:AB29" si="4">AA21-Z21</f>
        <v>40.521592920353982</v>
      </c>
      <c r="AD21" s="353">
        <f t="shared" ref="AD21:AD30" si="5">H21*1.5</f>
        <v>24</v>
      </c>
      <c r="AF21" s="441" t="s">
        <v>255</v>
      </c>
      <c r="AG21" s="442"/>
      <c r="AH21" s="443"/>
      <c r="AJ21" s="334">
        <v>14</v>
      </c>
      <c r="AK21" s="335" t="s">
        <v>145</v>
      </c>
    </row>
    <row r="22" spans="1:37" s="367" customFormat="1">
      <c r="B22" s="354">
        <v>46098</v>
      </c>
      <c r="C22" s="342"/>
      <c r="D22" s="355">
        <v>1800</v>
      </c>
      <c r="E22" s="342"/>
      <c r="F22" s="356">
        <v>0.35416666666666669</v>
      </c>
      <c r="G22" s="343"/>
      <c r="H22" s="458">
        <v>16</v>
      </c>
      <c r="I22" s="440">
        <f t="shared" si="2"/>
        <v>8.4690265486725664</v>
      </c>
      <c r="J22" s="454">
        <f>I22/H22</f>
        <v>0.5293141592920354</v>
      </c>
      <c r="K22" s="345"/>
      <c r="L22" s="400">
        <v>957</v>
      </c>
      <c r="M22" s="340"/>
      <c r="N22" s="433">
        <v>957</v>
      </c>
      <c r="O22" s="440">
        <f t="shared" si="3"/>
        <v>8.4690265486725664</v>
      </c>
      <c r="P22" s="436">
        <v>1190443.7200000004</v>
      </c>
      <c r="Q22" s="348"/>
      <c r="R22" s="359">
        <v>0</v>
      </c>
      <c r="S22" s="357">
        <v>0</v>
      </c>
      <c r="T22" s="419">
        <v>0</v>
      </c>
      <c r="U22" s="348"/>
      <c r="V22" s="360">
        <v>0</v>
      </c>
      <c r="W22" s="357">
        <v>0</v>
      </c>
      <c r="X22" s="419">
        <v>0</v>
      </c>
      <c r="Y22" s="423"/>
      <c r="Z22" s="361">
        <f t="shared" si="0"/>
        <v>68.514424778761068</v>
      </c>
      <c r="AA22" s="361">
        <f t="shared" si="1"/>
        <v>129.44</v>
      </c>
      <c r="AB22" s="353">
        <f t="shared" si="4"/>
        <v>60.92557522123893</v>
      </c>
      <c r="AD22" s="353">
        <f t="shared" si="5"/>
        <v>24</v>
      </c>
      <c r="AF22" s="444" t="s">
        <v>256</v>
      </c>
      <c r="AG22" s="445"/>
      <c r="AH22" s="446"/>
      <c r="AJ22" s="334">
        <v>15</v>
      </c>
      <c r="AK22" s="337" t="s">
        <v>125</v>
      </c>
    </row>
    <row r="23" spans="1:37" s="383" customFormat="1">
      <c r="A23" s="383">
        <v>1800</v>
      </c>
      <c r="B23" s="354">
        <v>46099</v>
      </c>
      <c r="C23" s="342"/>
      <c r="D23" s="355">
        <v>1800</v>
      </c>
      <c r="E23" s="342"/>
      <c r="F23" s="356">
        <v>0.35416666666666669</v>
      </c>
      <c r="G23" s="343"/>
      <c r="H23" s="458">
        <v>16</v>
      </c>
      <c r="I23" s="461">
        <f t="shared" si="2"/>
        <v>18.76991150442478</v>
      </c>
      <c r="J23" s="415">
        <f>I23/H23</f>
        <v>1.1731194690265487</v>
      </c>
      <c r="K23" s="345"/>
      <c r="L23" s="408">
        <v>2121</v>
      </c>
      <c r="M23" s="340"/>
      <c r="N23" s="434">
        <v>2121</v>
      </c>
      <c r="O23" s="440">
        <f t="shared" si="3"/>
        <v>18.76991150442478</v>
      </c>
      <c r="P23" s="436">
        <v>4312955.5899999924</v>
      </c>
      <c r="Q23" s="348"/>
      <c r="R23" s="359">
        <v>0</v>
      </c>
      <c r="S23" s="357">
        <v>0</v>
      </c>
      <c r="T23" s="419">
        <v>0</v>
      </c>
      <c r="U23" s="348"/>
      <c r="V23" s="360">
        <v>0</v>
      </c>
      <c r="W23" s="357">
        <v>0</v>
      </c>
      <c r="X23" s="419">
        <v>0</v>
      </c>
      <c r="Y23" s="423"/>
      <c r="Z23" s="361">
        <f t="shared" si="0"/>
        <v>151.84858407079648</v>
      </c>
      <c r="AA23" s="361">
        <f t="shared" si="1"/>
        <v>129.44</v>
      </c>
      <c r="AB23" s="412">
        <f t="shared" si="4"/>
        <v>-22.408584070796479</v>
      </c>
      <c r="AC23" s="367"/>
      <c r="AD23" s="353">
        <f t="shared" si="5"/>
        <v>24</v>
      </c>
      <c r="AF23" s="444" t="s">
        <v>257</v>
      </c>
      <c r="AG23" s="445"/>
      <c r="AH23" s="446"/>
      <c r="AJ23" s="334">
        <v>16</v>
      </c>
      <c r="AK23" s="337" t="s">
        <v>113</v>
      </c>
    </row>
    <row r="24" spans="1:37" s="383" customFormat="1">
      <c r="B24" s="354">
        <v>46100</v>
      </c>
      <c r="C24" s="342"/>
      <c r="D24" s="355">
        <v>1800</v>
      </c>
      <c r="E24" s="342"/>
      <c r="F24" s="356">
        <v>0.35416666666666669</v>
      </c>
      <c r="G24" s="343"/>
      <c r="H24" s="458">
        <v>16</v>
      </c>
      <c r="I24" s="440">
        <f t="shared" si="2"/>
        <v>14.946902654867257</v>
      </c>
      <c r="J24" s="454">
        <f>I24/H24</f>
        <v>0.93418141592920356</v>
      </c>
      <c r="K24" s="345"/>
      <c r="L24" s="400">
        <v>1689</v>
      </c>
      <c r="M24" s="340"/>
      <c r="N24" s="433">
        <v>1689</v>
      </c>
      <c r="O24" s="440">
        <f t="shared" si="3"/>
        <v>14.946902654867257</v>
      </c>
      <c r="P24" s="436">
        <v>2048905.1500000001</v>
      </c>
      <c r="Q24" s="348"/>
      <c r="R24" s="359">
        <v>0</v>
      </c>
      <c r="S24" s="357">
        <v>0</v>
      </c>
      <c r="T24" s="419">
        <v>0</v>
      </c>
      <c r="U24" s="348"/>
      <c r="V24" s="360">
        <v>0</v>
      </c>
      <c r="W24" s="357">
        <v>0</v>
      </c>
      <c r="X24" s="419">
        <v>0</v>
      </c>
      <c r="Y24" s="423"/>
      <c r="Z24" s="361">
        <f t="shared" si="0"/>
        <v>120.92044247787611</v>
      </c>
      <c r="AA24" s="361">
        <f t="shared" si="1"/>
        <v>129.44</v>
      </c>
      <c r="AB24" s="353">
        <f t="shared" si="4"/>
        <v>8.5195575221238897</v>
      </c>
      <c r="AC24" s="367"/>
      <c r="AD24" s="353">
        <f t="shared" si="5"/>
        <v>24</v>
      </c>
      <c r="AF24" s="401"/>
      <c r="AG24" s="338"/>
      <c r="AH24" s="402"/>
    </row>
    <row r="25" spans="1:37" s="367" customFormat="1" ht="15" customHeight="1">
      <c r="B25" s="354">
        <v>46101</v>
      </c>
      <c r="C25" s="342"/>
      <c r="D25" s="355">
        <v>1800</v>
      </c>
      <c r="E25" s="342"/>
      <c r="F25" s="356">
        <v>0.35416666666666669</v>
      </c>
      <c r="G25" s="343"/>
      <c r="H25" s="458">
        <v>16</v>
      </c>
      <c r="I25" s="440">
        <f t="shared" si="2"/>
        <v>12.88495575221239</v>
      </c>
      <c r="J25" s="454">
        <f>I25/H25</f>
        <v>0.80530973451327437</v>
      </c>
      <c r="K25" s="345"/>
      <c r="L25" s="400">
        <v>1456</v>
      </c>
      <c r="M25" s="340"/>
      <c r="N25" s="433">
        <v>1456</v>
      </c>
      <c r="O25" s="440">
        <f t="shared" si="3"/>
        <v>12.88495575221239</v>
      </c>
      <c r="P25" s="436">
        <v>1305965.6199999999</v>
      </c>
      <c r="Q25" s="348"/>
      <c r="R25" s="359">
        <v>0</v>
      </c>
      <c r="S25" s="357">
        <v>0</v>
      </c>
      <c r="T25" s="419">
        <v>0</v>
      </c>
      <c r="U25" s="348"/>
      <c r="V25" s="360">
        <v>0</v>
      </c>
      <c r="W25" s="357">
        <v>0</v>
      </c>
      <c r="X25" s="419">
        <v>0</v>
      </c>
      <c r="Y25" s="423"/>
      <c r="Z25" s="361">
        <f t="shared" si="0"/>
        <v>104.23929203539824</v>
      </c>
      <c r="AA25" s="361">
        <f t="shared" si="1"/>
        <v>129.44</v>
      </c>
      <c r="AB25" s="353">
        <f t="shared" si="4"/>
        <v>25.200707964601762</v>
      </c>
      <c r="AD25" s="353">
        <f t="shared" si="5"/>
        <v>24</v>
      </c>
      <c r="AF25" s="401" t="s">
        <v>258</v>
      </c>
      <c r="AG25" s="447" t="s">
        <v>259</v>
      </c>
      <c r="AH25" s="448"/>
    </row>
    <row r="26" spans="1:37" s="399" customFormat="1">
      <c r="A26" s="403"/>
      <c r="B26" s="371">
        <v>46102</v>
      </c>
      <c r="C26" s="372"/>
      <c r="D26" s="373">
        <v>0</v>
      </c>
      <c r="E26" s="372"/>
      <c r="F26" s="386">
        <v>0</v>
      </c>
      <c r="G26" s="375"/>
      <c r="H26" s="459">
        <v>0</v>
      </c>
      <c r="I26" s="439">
        <f t="shared" si="2"/>
        <v>7.0796460176991149E-2</v>
      </c>
      <c r="J26" s="455">
        <v>0</v>
      </c>
      <c r="K26" s="377"/>
      <c r="L26" s="404">
        <v>8</v>
      </c>
      <c r="M26" s="378"/>
      <c r="N26" s="435">
        <v>8</v>
      </c>
      <c r="O26" s="439">
        <f t="shared" si="3"/>
        <v>7.0796460176991149E-2</v>
      </c>
      <c r="P26" s="437">
        <v>973.27999999999986</v>
      </c>
      <c r="Q26" s="380"/>
      <c r="R26" s="376">
        <v>0</v>
      </c>
      <c r="S26" s="373">
        <v>0</v>
      </c>
      <c r="T26" s="379">
        <v>0</v>
      </c>
      <c r="U26" s="348"/>
      <c r="V26" s="376">
        <v>0</v>
      </c>
      <c r="W26" s="373">
        <v>0</v>
      </c>
      <c r="X26" s="379">
        <v>0</v>
      </c>
      <c r="Y26" s="424"/>
      <c r="Z26" s="398">
        <f t="shared" si="0"/>
        <v>0.57274336283185834</v>
      </c>
      <c r="AA26" s="398">
        <f t="shared" si="1"/>
        <v>0</v>
      </c>
      <c r="AB26" s="384">
        <f t="shared" si="4"/>
        <v>-0.57274336283185834</v>
      </c>
      <c r="AC26" s="338"/>
      <c r="AD26" s="384">
        <f t="shared" si="5"/>
        <v>0</v>
      </c>
      <c r="AF26" s="401"/>
      <c r="AG26" s="447"/>
      <c r="AH26" s="448"/>
    </row>
    <row r="27" spans="1:37" s="399" customFormat="1">
      <c r="A27" s="403"/>
      <c r="B27" s="371">
        <v>46103</v>
      </c>
      <c r="C27" s="372"/>
      <c r="D27" s="373">
        <v>0</v>
      </c>
      <c r="E27" s="372"/>
      <c r="F27" s="386">
        <v>0</v>
      </c>
      <c r="G27" s="375"/>
      <c r="H27" s="459">
        <v>0</v>
      </c>
      <c r="I27" s="439">
        <f t="shared" si="2"/>
        <v>0</v>
      </c>
      <c r="J27" s="455">
        <v>0</v>
      </c>
      <c r="K27" s="377"/>
      <c r="L27" s="404" t="s">
        <v>37</v>
      </c>
      <c r="M27" s="378"/>
      <c r="N27" s="435" t="s">
        <v>37</v>
      </c>
      <c r="O27" s="439">
        <v>0</v>
      </c>
      <c r="P27" s="437">
        <v>0</v>
      </c>
      <c r="Q27" s="380"/>
      <c r="R27" s="376">
        <v>0</v>
      </c>
      <c r="S27" s="373">
        <v>0</v>
      </c>
      <c r="T27" s="379">
        <v>0</v>
      </c>
      <c r="U27" s="348"/>
      <c r="V27" s="376">
        <v>0</v>
      </c>
      <c r="W27" s="373">
        <v>0</v>
      </c>
      <c r="X27" s="379">
        <v>0</v>
      </c>
      <c r="Y27" s="424"/>
      <c r="Z27" s="398">
        <f t="shared" si="0"/>
        <v>0</v>
      </c>
      <c r="AA27" s="398">
        <f t="shared" si="1"/>
        <v>0</v>
      </c>
      <c r="AB27" s="384">
        <f t="shared" si="4"/>
        <v>0</v>
      </c>
      <c r="AC27" s="338"/>
      <c r="AD27" s="384">
        <f t="shared" si="5"/>
        <v>0</v>
      </c>
      <c r="AF27" s="401" t="s">
        <v>260</v>
      </c>
      <c r="AG27" s="447"/>
      <c r="AH27" s="448"/>
    </row>
    <row r="28" spans="1:37" s="367" customFormat="1" ht="15.75" thickBot="1">
      <c r="B28" s="354">
        <v>46104</v>
      </c>
      <c r="C28" s="342"/>
      <c r="D28" s="355">
        <v>1800</v>
      </c>
      <c r="E28" s="342"/>
      <c r="F28" s="356">
        <v>0.35416666666666669</v>
      </c>
      <c r="G28" s="343"/>
      <c r="H28" s="458">
        <v>15</v>
      </c>
      <c r="I28" s="440">
        <f t="shared" si="2"/>
        <v>9.8407079646017692</v>
      </c>
      <c r="J28" s="454">
        <f>I28/H28</f>
        <v>0.65604719764011798</v>
      </c>
      <c r="K28" s="345"/>
      <c r="L28" s="400">
        <v>1112</v>
      </c>
      <c r="M28" s="340"/>
      <c r="N28" s="433">
        <v>1112</v>
      </c>
      <c r="O28" s="440">
        <f>N28/113</f>
        <v>9.8407079646017692</v>
      </c>
      <c r="P28" s="436">
        <v>2038688.7400000002</v>
      </c>
      <c r="Q28" s="348"/>
      <c r="R28" s="359">
        <v>0</v>
      </c>
      <c r="S28" s="357">
        <v>0</v>
      </c>
      <c r="T28" s="419">
        <v>0</v>
      </c>
      <c r="U28" s="348"/>
      <c r="V28" s="360">
        <v>0</v>
      </c>
      <c r="W28" s="357">
        <v>0</v>
      </c>
      <c r="X28" s="419">
        <v>0</v>
      </c>
      <c r="Y28" s="423"/>
      <c r="Z28" s="361">
        <f t="shared" si="0"/>
        <v>79.611327433628318</v>
      </c>
      <c r="AA28" s="361">
        <f t="shared" si="1"/>
        <v>121.35</v>
      </c>
      <c r="AB28" s="353">
        <f t="shared" si="4"/>
        <v>41.738672566371676</v>
      </c>
      <c r="AD28" s="353">
        <f t="shared" si="5"/>
        <v>22.5</v>
      </c>
      <c r="AF28" s="405"/>
      <c r="AG28" s="406"/>
      <c r="AH28" s="407"/>
    </row>
    <row r="29" spans="1:37" s="367" customFormat="1" ht="15.75" thickTop="1">
      <c r="B29" s="354">
        <v>46105</v>
      </c>
      <c r="C29" s="342"/>
      <c r="D29" s="355">
        <v>1800</v>
      </c>
      <c r="E29" s="342"/>
      <c r="F29" s="356">
        <v>0.35416666666666669</v>
      </c>
      <c r="G29" s="343"/>
      <c r="H29" s="458">
        <v>14</v>
      </c>
      <c r="I29" s="461">
        <f t="shared" ref="I29" si="6">SUM(O29,S29,W29)</f>
        <v>18.185840707964601</v>
      </c>
      <c r="J29" s="415">
        <f>I29/H29</f>
        <v>1.2989886219974716</v>
      </c>
      <c r="K29" s="345"/>
      <c r="L29" s="409">
        <v>2055</v>
      </c>
      <c r="M29" s="340"/>
      <c r="N29" s="410">
        <v>2055</v>
      </c>
      <c r="O29" s="440">
        <f>N29/113</f>
        <v>18.185840707964601</v>
      </c>
      <c r="P29" s="419">
        <v>2290191.83</v>
      </c>
      <c r="Q29" s="348"/>
      <c r="R29" s="359">
        <v>0</v>
      </c>
      <c r="S29" s="357">
        <v>0</v>
      </c>
      <c r="T29" s="419">
        <v>0</v>
      </c>
      <c r="U29" s="348"/>
      <c r="V29" s="360">
        <v>0</v>
      </c>
      <c r="W29" s="357">
        <v>0</v>
      </c>
      <c r="X29" s="419">
        <v>0</v>
      </c>
      <c r="Y29" s="423"/>
      <c r="Z29" s="361">
        <f t="shared" si="0"/>
        <v>147.12345132743363</v>
      </c>
      <c r="AA29" s="361">
        <f t="shared" si="1"/>
        <v>113.25999999999999</v>
      </c>
      <c r="AB29" s="412">
        <f t="shared" si="4"/>
        <v>-33.863451327433637</v>
      </c>
      <c r="AD29" s="353">
        <f t="shared" si="5"/>
        <v>21</v>
      </c>
    </row>
    <row r="30" spans="1:37" s="383" customFormat="1">
      <c r="B30" s="354">
        <v>46106</v>
      </c>
      <c r="C30" s="342"/>
      <c r="D30" s="355">
        <v>1800</v>
      </c>
      <c r="E30" s="342"/>
      <c r="F30" s="356">
        <v>0.35416666666666669</v>
      </c>
      <c r="G30" s="343"/>
      <c r="H30" s="458">
        <v>15</v>
      </c>
      <c r="I30" s="431">
        <f t="shared" ref="I30" si="7">SUM(O30,S30,W30)</f>
        <v>12.407079646017699</v>
      </c>
      <c r="J30" s="454">
        <f>I30/H30</f>
        <v>0.82713864306784657</v>
      </c>
      <c r="K30" s="345"/>
      <c r="L30" s="357">
        <v>1402</v>
      </c>
      <c r="M30" s="340"/>
      <c r="N30" s="358">
        <v>1402</v>
      </c>
      <c r="O30" s="440">
        <f>N30/113</f>
        <v>12.407079646017699</v>
      </c>
      <c r="P30" s="419">
        <v>1270272.24</v>
      </c>
      <c r="Q30" s="348"/>
      <c r="R30" s="359">
        <v>0</v>
      </c>
      <c r="S30" s="357">
        <v>0</v>
      </c>
      <c r="T30" s="419">
        <v>0</v>
      </c>
      <c r="U30" s="348"/>
      <c r="V30" s="360">
        <v>0</v>
      </c>
      <c r="W30" s="357">
        <v>0</v>
      </c>
      <c r="X30" s="419">
        <v>0</v>
      </c>
      <c r="Y30" s="423"/>
      <c r="Z30" s="361">
        <f t="shared" si="0"/>
        <v>100.37327433628319</v>
      </c>
      <c r="AA30" s="361">
        <f t="shared" si="1"/>
        <v>121.35</v>
      </c>
      <c r="AB30" s="353">
        <f t="shared" ref="AB30" si="8">AA30-Z30</f>
        <v>20.976725663716806</v>
      </c>
      <c r="AC30" s="367"/>
      <c r="AD30" s="353">
        <f t="shared" si="5"/>
        <v>22.5</v>
      </c>
      <c r="AF30" s="367"/>
      <c r="AG30" s="367"/>
      <c r="AH30" s="367"/>
    </row>
    <row r="31" spans="1:37" s="383" customFormat="1">
      <c r="B31" s="354">
        <v>46107</v>
      </c>
      <c r="C31" s="342"/>
      <c r="D31" s="355"/>
      <c r="E31" s="342"/>
      <c r="F31" s="356"/>
      <c r="G31" s="343"/>
      <c r="H31" s="458"/>
      <c r="I31" s="431"/>
      <c r="J31" s="454"/>
      <c r="K31" s="345"/>
      <c r="L31" s="357"/>
      <c r="M31" s="340"/>
      <c r="N31" s="358"/>
      <c r="O31" s="440"/>
      <c r="P31" s="419"/>
      <c r="Q31" s="348"/>
      <c r="R31" s="359"/>
      <c r="S31" s="357"/>
      <c r="T31" s="419"/>
      <c r="U31" s="348"/>
      <c r="V31" s="360"/>
      <c r="W31" s="357"/>
      <c r="X31" s="419"/>
      <c r="Y31" s="423"/>
      <c r="Z31" s="361"/>
      <c r="AA31" s="361"/>
      <c r="AB31" s="353"/>
      <c r="AC31" s="367"/>
      <c r="AD31" s="353"/>
      <c r="AF31" s="367"/>
      <c r="AG31" s="367"/>
      <c r="AH31" s="367"/>
    </row>
    <row r="32" spans="1:37" s="367" customFormat="1">
      <c r="B32" s="354">
        <v>46108</v>
      </c>
      <c r="C32" s="342"/>
      <c r="D32" s="355"/>
      <c r="E32" s="342"/>
      <c r="F32" s="356"/>
      <c r="G32" s="343"/>
      <c r="H32" s="458"/>
      <c r="I32" s="458"/>
      <c r="J32" s="454"/>
      <c r="K32" s="345"/>
      <c r="L32" s="357"/>
      <c r="M32" s="340"/>
      <c r="N32" s="358"/>
      <c r="O32" s="440"/>
      <c r="P32" s="419"/>
      <c r="Q32" s="348"/>
      <c r="R32" s="359"/>
      <c r="S32" s="357"/>
      <c r="T32" s="419"/>
      <c r="U32" s="348"/>
      <c r="V32" s="360"/>
      <c r="W32" s="357"/>
      <c r="X32" s="419"/>
      <c r="Y32" s="423"/>
      <c r="Z32" s="361"/>
      <c r="AA32" s="361"/>
      <c r="AB32" s="353"/>
      <c r="AD32" s="353"/>
    </row>
    <row r="33" spans="1:34" s="383" customFormat="1">
      <c r="A33" s="370"/>
      <c r="B33" s="371">
        <v>46109</v>
      </c>
      <c r="C33" s="372"/>
      <c r="D33" s="373"/>
      <c r="E33" s="372"/>
      <c r="F33" s="386"/>
      <c r="G33" s="375"/>
      <c r="H33" s="459"/>
      <c r="I33" s="459"/>
      <c r="J33" s="455"/>
      <c r="K33" s="377"/>
      <c r="L33" s="373"/>
      <c r="M33" s="378"/>
      <c r="N33" s="376"/>
      <c r="O33" s="439"/>
      <c r="P33" s="379"/>
      <c r="Q33" s="380"/>
      <c r="R33" s="376"/>
      <c r="S33" s="373"/>
      <c r="T33" s="379"/>
      <c r="U33" s="380"/>
      <c r="V33" s="376"/>
      <c r="W33" s="373"/>
      <c r="X33" s="379"/>
      <c r="Y33" s="424"/>
      <c r="Z33" s="398"/>
      <c r="AA33" s="398"/>
      <c r="AB33" s="384"/>
      <c r="AD33" s="384"/>
      <c r="AF33" s="370"/>
      <c r="AG33" s="370"/>
      <c r="AH33" s="370"/>
    </row>
    <row r="34" spans="1:34" s="383" customFormat="1">
      <c r="A34" s="370"/>
      <c r="B34" s="371">
        <v>46110</v>
      </c>
      <c r="C34" s="372"/>
      <c r="D34" s="373"/>
      <c r="E34" s="372"/>
      <c r="F34" s="386"/>
      <c r="G34" s="375"/>
      <c r="H34" s="459"/>
      <c r="I34" s="459"/>
      <c r="J34" s="455"/>
      <c r="K34" s="377"/>
      <c r="L34" s="373"/>
      <c r="M34" s="378"/>
      <c r="N34" s="376"/>
      <c r="O34" s="439"/>
      <c r="P34" s="379"/>
      <c r="Q34" s="380"/>
      <c r="R34" s="376"/>
      <c r="S34" s="373"/>
      <c r="T34" s="379"/>
      <c r="U34" s="380"/>
      <c r="V34" s="376"/>
      <c r="W34" s="373"/>
      <c r="X34" s="379"/>
      <c r="Y34" s="424"/>
      <c r="Z34" s="398"/>
      <c r="AA34" s="398"/>
      <c r="AB34" s="384"/>
      <c r="AD34" s="384"/>
      <c r="AF34" s="370"/>
      <c r="AG34" s="370"/>
      <c r="AH34" s="370"/>
    </row>
    <row r="35" spans="1:34" s="367" customFormat="1">
      <c r="B35" s="354">
        <v>46111</v>
      </c>
      <c r="C35" s="342"/>
      <c r="D35" s="355"/>
      <c r="E35" s="342"/>
      <c r="F35" s="356"/>
      <c r="G35" s="343"/>
      <c r="H35" s="458"/>
      <c r="I35" s="458"/>
      <c r="J35" s="454"/>
      <c r="K35" s="345"/>
      <c r="L35" s="357"/>
      <c r="M35" s="340"/>
      <c r="N35" s="358"/>
      <c r="O35" s="440"/>
      <c r="P35" s="419"/>
      <c r="Q35" s="348"/>
      <c r="R35" s="359"/>
      <c r="S35" s="357"/>
      <c r="T35" s="419"/>
      <c r="U35" s="348"/>
      <c r="V35" s="360"/>
      <c r="W35" s="357"/>
      <c r="X35" s="419"/>
      <c r="Y35" s="423"/>
      <c r="Z35" s="361"/>
      <c r="AA35" s="361"/>
      <c r="AB35" s="353"/>
      <c r="AD35" s="353"/>
    </row>
    <row r="36" spans="1:34" s="367" customFormat="1">
      <c r="B36" s="354">
        <v>46112</v>
      </c>
      <c r="C36" s="342"/>
      <c r="D36" s="355"/>
      <c r="E36" s="342"/>
      <c r="F36" s="356"/>
      <c r="G36" s="343"/>
      <c r="H36" s="458"/>
      <c r="I36" s="462"/>
      <c r="J36" s="454"/>
      <c r="K36" s="345"/>
      <c r="L36" s="357"/>
      <c r="M36" s="340"/>
      <c r="N36" s="358"/>
      <c r="O36" s="440"/>
      <c r="P36" s="419"/>
      <c r="Q36" s="348"/>
      <c r="R36" s="359"/>
      <c r="S36" s="357"/>
      <c r="T36" s="419"/>
      <c r="U36" s="348"/>
      <c r="V36" s="360"/>
      <c r="W36" s="357"/>
      <c r="X36" s="419"/>
      <c r="Y36" s="423"/>
      <c r="Z36" s="361"/>
      <c r="AA36" s="361"/>
      <c r="AB36" s="353"/>
      <c r="AD36" s="353"/>
    </row>
    <row r="37" spans="1:34" s="146" customFormat="1" ht="20.25">
      <c r="B37" s="317" t="s">
        <v>187</v>
      </c>
      <c r="C37" s="142"/>
      <c r="D37" s="318">
        <f>SUM(D7:D36)</f>
        <v>36000</v>
      </c>
      <c r="E37" s="142"/>
      <c r="F37" s="318"/>
      <c r="G37" s="305"/>
      <c r="H37" s="428">
        <f>AVERAGE(H7:H36)</f>
        <v>11.166666666666666</v>
      </c>
      <c r="I37" s="428">
        <f>AVERAGE(I7:I36)</f>
        <v>8.7942477876106189</v>
      </c>
      <c r="J37" s="414"/>
      <c r="K37" s="306"/>
      <c r="L37" s="318">
        <v>23598</v>
      </c>
      <c r="M37" s="307"/>
      <c r="N37" s="318">
        <f>SUM(N7:N36)</f>
        <v>23850</v>
      </c>
      <c r="O37" s="439">
        <f>AVERAGE(O7:O36)</f>
        <v>8.7942477876106189</v>
      </c>
      <c r="P37" s="319">
        <f>SUM(P7:P36)</f>
        <v>27318135.499999989</v>
      </c>
      <c r="Q37" s="308"/>
      <c r="R37" s="318">
        <f>AVERAGE(R7:R36)</f>
        <v>0</v>
      </c>
      <c r="S37" s="318">
        <f>AVERAGE(S7:S36)</f>
        <v>0</v>
      </c>
      <c r="T37" s="319">
        <f>SUM(T7:T36)</f>
        <v>0</v>
      </c>
      <c r="U37" s="308"/>
      <c r="V37" s="318">
        <f>AVERAGE(V7:V36)</f>
        <v>0</v>
      </c>
      <c r="W37" s="318">
        <f>AVERAGE(W7:W36)</f>
        <v>0</v>
      </c>
      <c r="X37" s="319">
        <f>SUM(X7:X36)</f>
        <v>0</v>
      </c>
      <c r="Y37" s="144"/>
      <c r="Z37" s="271">
        <f>AVERAGE(Z7:Z30)</f>
        <v>71.145464601769916</v>
      </c>
      <c r="AA37" s="271">
        <f>AVERAGE(AA7:AA30)</f>
        <v>90.338333333333352</v>
      </c>
      <c r="AB37" s="271">
        <f>AA37-Z37</f>
        <v>19.192868731563436</v>
      </c>
      <c r="AD37" s="288"/>
      <c r="AG37" s="147"/>
      <c r="AH37" s="147"/>
    </row>
    <row r="38" spans="1:34" s="89" customFormat="1">
      <c r="D38" s="91"/>
      <c r="F38" s="91"/>
      <c r="H38" s="429"/>
      <c r="I38" s="429"/>
      <c r="J38" s="344"/>
      <c r="K38" s="128"/>
      <c r="L38" s="91"/>
      <c r="N38" s="91"/>
      <c r="O38" s="429"/>
      <c r="P38" s="91"/>
      <c r="Q38" s="91"/>
      <c r="R38" s="91"/>
      <c r="S38" s="91"/>
      <c r="T38" s="91"/>
      <c r="U38" s="91"/>
      <c r="V38" s="91"/>
      <c r="W38" s="91"/>
      <c r="X38" s="91"/>
      <c r="AD38" s="89">
        <v>0</v>
      </c>
      <c r="AF38" s="83"/>
      <c r="AG38" s="83"/>
      <c r="AH38" s="83"/>
    </row>
    <row r="39" spans="1:34" ht="14.25">
      <c r="B39" s="83"/>
      <c r="C39" s="83"/>
      <c r="E39" s="83"/>
      <c r="G39" s="83"/>
      <c r="M39" s="83"/>
      <c r="P39" s="90">
        <v>113</v>
      </c>
      <c r="Z39" s="83"/>
      <c r="AA39" s="83"/>
      <c r="AB39" s="83"/>
    </row>
    <row r="40" spans="1:34" ht="14.25">
      <c r="B40" s="83"/>
      <c r="C40" s="83"/>
      <c r="E40" s="83"/>
      <c r="G40" s="83"/>
      <c r="H40" s="430">
        <v>15</v>
      </c>
      <c r="I40" s="430">
        <v>15.21</v>
      </c>
      <c r="J40" s="413">
        <f>H40/I40</f>
        <v>0.98619329388560151</v>
      </c>
      <c r="M40" s="83"/>
      <c r="P40" s="420">
        <f>N21/P39</f>
        <v>10.991150442477876</v>
      </c>
      <c r="Z40" s="83"/>
      <c r="AA40" s="83"/>
      <c r="AB40" s="83"/>
    </row>
    <row r="41" spans="1:34" ht="14.25">
      <c r="B41" s="83"/>
      <c r="C41" s="83"/>
      <c r="E41" s="83"/>
      <c r="G41" s="83"/>
      <c r="M41" s="83"/>
      <c r="Z41" s="83"/>
      <c r="AA41" s="83"/>
      <c r="AB41" s="83"/>
    </row>
  </sheetData>
  <mergeCells count="9">
    <mergeCell ref="B2:AD2"/>
    <mergeCell ref="AF2:AH5"/>
    <mergeCell ref="H3:J3"/>
    <mergeCell ref="N3:P3"/>
    <mergeCell ref="R3:T3"/>
    <mergeCell ref="V3:X3"/>
    <mergeCell ref="Z3:AB3"/>
    <mergeCell ref="D4:D5"/>
    <mergeCell ref="F4:F5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205D-ECDA-4028-A447-2927FFCE3B23}">
  <sheetPr codeName="Planilha8">
    <tabColor rgb="FFFF0000"/>
  </sheetPr>
  <dimension ref="A1:AB43"/>
  <sheetViews>
    <sheetView workbookViewId="0">
      <selection activeCell="S5" sqref="S5"/>
    </sheetView>
  </sheetViews>
  <sheetFormatPr defaultRowHeight="14.25"/>
  <cols>
    <col min="1" max="1" width="8.5" style="4"/>
    <col min="3" max="3" width="13.5" customWidth="1"/>
    <col min="4" max="4" width="4.5" customWidth="1"/>
    <col min="5" max="5" width="13.5" customWidth="1"/>
    <col min="6" max="6" width="4.5" customWidth="1"/>
    <col min="7" max="7" width="13.5" customWidth="1"/>
    <col min="8" max="8" width="4.5" customWidth="1"/>
    <col min="9" max="9" width="14" customWidth="1"/>
    <col min="10" max="10" width="4.5" customWidth="1"/>
    <col min="11" max="11" width="15.5" customWidth="1"/>
    <col min="12" max="12" width="4.5" customWidth="1"/>
    <col min="13" max="13" width="13.5" customWidth="1"/>
    <col min="14" max="14" width="4.5" customWidth="1"/>
    <col min="15" max="15" width="13.5" customWidth="1"/>
    <col min="16" max="16" width="4.5" customWidth="1"/>
    <col min="17" max="17" width="13.5" customWidth="1"/>
  </cols>
  <sheetData>
    <row r="1" spans="2:28" ht="15" thickBot="1">
      <c r="B1" s="4" t="s">
        <v>261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2:28" ht="30" customHeight="1" thickBot="1">
      <c r="B2" s="938" t="s">
        <v>0</v>
      </c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39"/>
      <c r="N2" s="939"/>
      <c r="O2" s="939"/>
      <c r="P2" s="939"/>
      <c r="Q2" s="940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2:28">
      <c r="B3" s="9" t="s">
        <v>1</v>
      </c>
      <c r="C3" s="9" t="s">
        <v>2</v>
      </c>
      <c r="D3" s="10"/>
      <c r="E3" s="9" t="s">
        <v>262</v>
      </c>
      <c r="F3" s="10"/>
      <c r="G3" s="9" t="s">
        <v>4</v>
      </c>
      <c r="H3" s="10"/>
      <c r="I3" s="9" t="s">
        <v>5</v>
      </c>
      <c r="J3" s="10"/>
      <c r="K3" s="9" t="s">
        <v>263</v>
      </c>
      <c r="L3" s="9"/>
      <c r="M3" s="9" t="s">
        <v>264</v>
      </c>
      <c r="N3" s="10"/>
      <c r="O3" s="9" t="s">
        <v>265</v>
      </c>
      <c r="P3" s="4"/>
      <c r="Q3" s="9" t="s">
        <v>12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2:28" ht="45.75" thickBot="1">
      <c r="B4" s="5" t="s">
        <v>23</v>
      </c>
      <c r="C4" s="6" t="s">
        <v>266</v>
      </c>
      <c r="D4" s="4"/>
      <c r="E4" s="6" t="s">
        <v>267</v>
      </c>
      <c r="F4" s="4"/>
      <c r="G4" s="6" t="s">
        <v>268</v>
      </c>
      <c r="H4" s="4"/>
      <c r="I4" s="6" t="s">
        <v>269</v>
      </c>
      <c r="J4" s="4"/>
      <c r="K4" s="6" t="s">
        <v>270</v>
      </c>
      <c r="L4" s="6"/>
      <c r="M4" s="16" t="s">
        <v>271</v>
      </c>
      <c r="N4" s="4"/>
      <c r="O4" s="16" t="s">
        <v>271</v>
      </c>
      <c r="P4" s="4"/>
      <c r="Q4" s="16" t="s">
        <v>272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2:28" ht="42.75" customHeight="1" thickBot="1">
      <c r="C5" s="12">
        <v>2.1</v>
      </c>
      <c r="D5" s="20"/>
      <c r="E5" s="12">
        <v>2.1</v>
      </c>
      <c r="F5" s="20"/>
      <c r="G5" s="12">
        <v>3.5</v>
      </c>
      <c r="H5" s="20"/>
      <c r="I5" s="12">
        <v>1.5</v>
      </c>
      <c r="J5" s="20"/>
      <c r="K5" s="12"/>
      <c r="L5" s="5"/>
      <c r="M5" s="12"/>
      <c r="N5" s="20"/>
      <c r="O5" s="23"/>
      <c r="P5" s="20"/>
      <c r="Q5" s="12">
        <f>'MÃO OBRA DIÁRIA'!A39</f>
        <v>37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15" customHeight="1">
      <c r="B6" s="17" t="s">
        <v>273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2:28">
      <c r="B7" s="1"/>
      <c r="C7" s="1"/>
      <c r="D7" s="4"/>
      <c r="E7" s="1"/>
      <c r="F7" s="4"/>
      <c r="G7" s="1"/>
      <c r="H7" s="4"/>
      <c r="I7" s="1"/>
      <c r="J7" s="4"/>
      <c r="K7" s="1"/>
      <c r="L7" s="4"/>
      <c r="M7" s="1"/>
      <c r="N7" s="4"/>
      <c r="O7" s="1"/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2:28" s="4" customFormat="1" ht="45.75" thickBot="1">
      <c r="B8" s="5" t="s">
        <v>23</v>
      </c>
      <c r="C8" s="6" t="s">
        <v>274</v>
      </c>
      <c r="E8" s="6" t="s">
        <v>275</v>
      </c>
      <c r="G8" s="6" t="s">
        <v>27</v>
      </c>
      <c r="I8" s="16" t="s">
        <v>276</v>
      </c>
      <c r="K8" s="16" t="s">
        <v>277</v>
      </c>
      <c r="L8" s="16"/>
      <c r="M8" s="16" t="s">
        <v>30</v>
      </c>
      <c r="O8" s="16" t="s">
        <v>30</v>
      </c>
      <c r="Q8" s="19" t="s">
        <v>32</v>
      </c>
    </row>
    <row r="9" spans="2:28" ht="42.75" customHeight="1" thickBot="1">
      <c r="C9" s="12">
        <v>14.5</v>
      </c>
      <c r="D9" s="4"/>
      <c r="E9" s="12">
        <v>14.5</v>
      </c>
      <c r="F9" s="4"/>
      <c r="G9" s="12">
        <v>2.8</v>
      </c>
      <c r="H9" s="4"/>
      <c r="I9" s="11">
        <v>150000</v>
      </c>
      <c r="J9" s="4"/>
      <c r="K9" s="11">
        <v>3</v>
      </c>
      <c r="L9" s="18"/>
      <c r="M9" s="11"/>
      <c r="N9" s="4"/>
      <c r="O9" s="2"/>
      <c r="P9" s="4"/>
      <c r="Q9" s="11">
        <f>'MÃO OBRA DIÁRIA'!H53</f>
        <v>49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28" ht="15" customHeight="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2:28">
      <c r="B11" s="1"/>
      <c r="C11" s="1"/>
      <c r="D11" s="4"/>
      <c r="E11" s="1"/>
      <c r="F11" s="4"/>
      <c r="G11" s="1"/>
      <c r="H11" s="4"/>
      <c r="I11" s="1"/>
      <c r="J11" s="4"/>
      <c r="K11" s="1"/>
      <c r="L11" s="4"/>
      <c r="M11" s="1"/>
      <c r="N11" s="4"/>
      <c r="O11" s="1"/>
      <c r="P11" s="4"/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2:28" ht="20.85" customHeight="1" thickBot="1">
      <c r="B12" s="4"/>
      <c r="C12" s="7" t="s">
        <v>38</v>
      </c>
      <c r="D12" s="4"/>
      <c r="E12" s="7" t="s">
        <v>38</v>
      </c>
      <c r="F12" s="4"/>
      <c r="G12" s="7" t="s">
        <v>38</v>
      </c>
      <c r="H12" s="4"/>
      <c r="I12" s="7" t="s">
        <v>38</v>
      </c>
      <c r="J12" s="4"/>
      <c r="K12" s="7" t="s">
        <v>38</v>
      </c>
      <c r="L12" s="7"/>
      <c r="M12" s="7" t="s">
        <v>38</v>
      </c>
      <c r="N12" s="4"/>
      <c r="O12" s="7" t="s">
        <v>38</v>
      </c>
      <c r="P12" s="4"/>
      <c r="Q12" s="25" t="s">
        <v>39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2:28" ht="42.75" customHeight="1" thickBot="1">
      <c r="B13" s="3" t="s">
        <v>34</v>
      </c>
      <c r="C13" s="12">
        <v>31.1</v>
      </c>
      <c r="D13" s="20"/>
      <c r="E13" s="12">
        <v>31.1</v>
      </c>
      <c r="F13" s="20"/>
      <c r="G13" s="12">
        <v>31.1</v>
      </c>
      <c r="H13" s="20"/>
      <c r="I13" s="26">
        <v>450000</v>
      </c>
      <c r="J13" s="20"/>
      <c r="K13" s="12">
        <v>40</v>
      </c>
      <c r="L13" s="5"/>
      <c r="M13" s="12"/>
      <c r="N13" s="20"/>
      <c r="O13" s="23"/>
      <c r="P13" s="20"/>
      <c r="Q13" s="12">
        <v>47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2:28" ht="15" customHeight="1"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2:28">
      <c r="B15" s="1"/>
      <c r="C15" s="1"/>
      <c r="D15" s="4"/>
      <c r="E15" s="1"/>
      <c r="F15" s="4"/>
      <c r="G15" s="1"/>
      <c r="H15" s="4"/>
      <c r="I15" s="1"/>
      <c r="J15" s="4"/>
      <c r="K15" s="1"/>
      <c r="L15" s="4"/>
      <c r="M15" s="1"/>
      <c r="N15" s="4"/>
      <c r="O15" s="1"/>
      <c r="P15" s="4"/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2:28" ht="15.75" thickBot="1">
      <c r="B16" s="4"/>
      <c r="C16" s="7" t="s">
        <v>42</v>
      </c>
      <c r="D16" s="20"/>
      <c r="E16" s="7" t="s">
        <v>42</v>
      </c>
      <c r="F16" s="20"/>
      <c r="G16" s="7" t="s">
        <v>42</v>
      </c>
      <c r="H16" s="20"/>
      <c r="I16" s="7" t="s">
        <v>42</v>
      </c>
      <c r="J16" s="20"/>
      <c r="K16" s="7" t="s">
        <v>42</v>
      </c>
      <c r="L16" s="7"/>
      <c r="M16" s="7" t="s">
        <v>42</v>
      </c>
      <c r="N16" s="20"/>
      <c r="O16" s="7" t="s">
        <v>42</v>
      </c>
      <c r="P16" s="20"/>
      <c r="Q16" s="7" t="s">
        <v>42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2:28" ht="42" customHeight="1" thickBot="1">
      <c r="B17" s="3" t="s">
        <v>34</v>
      </c>
      <c r="C17" s="28">
        <f>C9/C13</f>
        <v>0.4662379421221865</v>
      </c>
      <c r="D17" s="20"/>
      <c r="E17" s="28">
        <f>E9/E13</f>
        <v>0.4662379421221865</v>
      </c>
      <c r="F17" s="20"/>
      <c r="G17" s="14">
        <f>G9/G13</f>
        <v>9.0032154340836001E-2</v>
      </c>
      <c r="H17" s="20"/>
      <c r="I17" s="21">
        <f>I9/I13</f>
        <v>0.33333333333333331</v>
      </c>
      <c r="J17" s="20"/>
      <c r="K17" s="12">
        <f>K9/K13</f>
        <v>7.4999999999999997E-2</v>
      </c>
      <c r="L17" s="22"/>
      <c r="M17" s="27"/>
      <c r="N17" s="20"/>
      <c r="O17" s="23"/>
      <c r="P17" s="20"/>
      <c r="Q17" s="24">
        <f>Q13/Q9-1</f>
        <v>-4.081632653061229E-2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2:28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2:28">
      <c r="B19" s="1"/>
      <c r="C19" s="1"/>
      <c r="D19" s="4"/>
      <c r="E19" s="1"/>
      <c r="F19" s="4"/>
      <c r="G19" s="1"/>
      <c r="H19" s="4"/>
      <c r="I19" s="1"/>
      <c r="J19" s="4"/>
      <c r="K19" s="1"/>
      <c r="L19" s="4"/>
      <c r="M19" s="1"/>
      <c r="N19" s="4"/>
      <c r="O19" s="1"/>
      <c r="P19" s="4"/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2:28" ht="9" customHeight="1" thickBo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2:28" ht="15" thickBot="1">
      <c r="B21" s="8" t="s">
        <v>44</v>
      </c>
      <c r="C21" s="13" t="str">
        <f ca="1">IF(LEN(DAY(TODAY()))=1,"0"&amp;DAY(TODAY()),DAY(TODAY()))&amp;"."&amp;IF(LEN(MONTH(TODAY()))=1,"0"&amp;MONTH(TODAY()),MONTH(TODAY()))</f>
        <v>14.10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2:28" ht="15">
      <c r="B22" s="8" t="s">
        <v>46</v>
      </c>
      <c r="C22" s="15">
        <v>0.45833333333333331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2:28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2:28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2:28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2:28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2:28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2:28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2:28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2:28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2:28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2:28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2:28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2:28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2:28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2:28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2:28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2:2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2:28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2:28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2:28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2:28"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28"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</sheetData>
  <mergeCells count="1">
    <mergeCell ref="B2:Q2"/>
  </mergeCells>
  <conditionalFormatting sqref="C17 E17 G17 I17 K17 M17 O17 Q17">
    <cfRule type="cellIs" dxfId="2" priority="1" operator="between">
      <formula>1</formula>
      <formula>10</formula>
    </cfRule>
    <cfRule type="cellIs" dxfId="1" priority="2" operator="between">
      <formula>0.51</formula>
      <formula>0.99</formula>
    </cfRule>
    <cfRule type="cellIs" dxfId="0" priority="3" operator="between">
      <formula>0</formula>
      <formula>0.5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B7D5-0074-4DD4-A162-6C822613B047}">
  <sheetPr codeName="Planilha9">
    <tabColor theme="5" tint="0.39997558519241921"/>
  </sheetPr>
  <dimension ref="A1:AC68"/>
  <sheetViews>
    <sheetView showGridLines="0" zoomScale="70" zoomScaleNormal="7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F56" sqref="F56"/>
    </sheetView>
  </sheetViews>
  <sheetFormatPr defaultColWidth="19.5" defaultRowHeight="18"/>
  <cols>
    <col min="1" max="1" width="57.5" style="482" customWidth="1"/>
    <col min="2" max="2" width="4.5" style="39" customWidth="1"/>
    <col min="3" max="3" width="18.5" style="54" customWidth="1"/>
    <col min="4" max="4" width="18.5" style="39" customWidth="1"/>
    <col min="5" max="5" width="4.5" style="39" customWidth="1"/>
    <col min="6" max="7" width="18.5" style="39" customWidth="1"/>
    <col min="8" max="8" width="4.5" style="39" customWidth="1"/>
    <col min="9" max="10" width="18.5" style="39" customWidth="1"/>
    <col min="11" max="11" width="5.5" style="39" customWidth="1"/>
    <col min="12" max="13" width="18.5" style="39" customWidth="1"/>
    <col min="14" max="14" width="5.5" style="41" customWidth="1"/>
    <col min="15" max="15" width="18.5" style="54" customWidth="1"/>
    <col min="16" max="16" width="18.5" style="39" customWidth="1"/>
    <col min="17" max="17" width="7.5" style="39" customWidth="1"/>
    <col min="18" max="18" width="18.5" style="54" customWidth="1"/>
    <col min="19" max="21" width="18.5" style="39" customWidth="1"/>
    <col min="22" max="22" width="16.5" style="39" customWidth="1"/>
    <col min="23" max="23" width="18.5" style="39" customWidth="1"/>
    <col min="24" max="24" width="1.5" style="570" customWidth="1"/>
    <col min="25" max="25" width="26.5" style="40" customWidth="1"/>
    <col min="26" max="27" width="18.5" style="40" customWidth="1"/>
    <col min="28" max="28" width="26.5" style="40" customWidth="1"/>
    <col min="29" max="29" width="53.5" style="39" bestFit="1" customWidth="1"/>
    <col min="30" max="16384" width="19.5" style="39"/>
  </cols>
  <sheetData>
    <row r="1" spans="1:28" ht="59.25" customHeight="1" thickTop="1">
      <c r="A1" s="558">
        <f ca="1">TODAY()</f>
        <v>46309</v>
      </c>
      <c r="D1" s="194" t="s">
        <v>165</v>
      </c>
      <c r="E1" s="195"/>
      <c r="F1" s="196" t="s">
        <v>166</v>
      </c>
      <c r="G1" s="197" t="s">
        <v>167</v>
      </c>
      <c r="H1" s="195"/>
      <c r="I1" s="941" t="s">
        <v>168</v>
      </c>
      <c r="J1" s="941"/>
    </row>
    <row r="2" spans="1:28" ht="18.75" thickBot="1"/>
    <row r="3" spans="1:28" s="40" customFormat="1" ht="27.75" thickTop="1" thickBot="1">
      <c r="A3" s="950" t="s">
        <v>186</v>
      </c>
      <c r="C3" s="953" t="s">
        <v>278</v>
      </c>
      <c r="D3" s="953"/>
      <c r="E3" s="953"/>
      <c r="F3" s="953"/>
      <c r="G3" s="953"/>
      <c r="H3" s="683"/>
      <c r="I3" s="953" t="s">
        <v>279</v>
      </c>
      <c r="J3" s="953"/>
      <c r="K3" s="953"/>
      <c r="L3" s="953"/>
      <c r="M3" s="953"/>
      <c r="N3" s="953"/>
      <c r="O3" s="953"/>
      <c r="P3" s="953"/>
      <c r="Q3" s="683"/>
      <c r="R3" s="953" t="s">
        <v>280</v>
      </c>
      <c r="S3" s="953"/>
      <c r="T3" s="953"/>
      <c r="U3" s="953"/>
      <c r="V3" s="953"/>
      <c r="W3" s="953"/>
      <c r="X3" s="572"/>
      <c r="Y3" s="949" t="s">
        <v>281</v>
      </c>
      <c r="Z3" s="949"/>
      <c r="AA3" s="949"/>
      <c r="AB3" s="949"/>
    </row>
    <row r="4" spans="1:28" ht="19.5" thickTop="1" thickBot="1">
      <c r="A4" s="951"/>
      <c r="C4" s="954"/>
      <c r="D4" s="955"/>
      <c r="E4" s="955"/>
      <c r="F4" s="955"/>
      <c r="G4" s="955"/>
      <c r="H4" s="956"/>
      <c r="I4" s="955"/>
      <c r="J4" s="955"/>
      <c r="K4" s="955"/>
      <c r="L4" s="955"/>
      <c r="M4" s="955"/>
      <c r="N4" s="955"/>
      <c r="O4" s="955"/>
      <c r="P4" s="957"/>
      <c r="Q4" s="684"/>
      <c r="R4" s="958"/>
      <c r="S4" s="959"/>
      <c r="T4" s="959"/>
      <c r="U4" s="959"/>
      <c r="V4" s="959"/>
      <c r="W4" s="960"/>
      <c r="Y4" s="199"/>
      <c r="AB4" s="200"/>
    </row>
    <row r="5" spans="1:28" ht="30.75" customHeight="1" thickTop="1" thickBot="1">
      <c r="A5" s="952"/>
      <c r="C5" s="55" t="s">
        <v>282</v>
      </c>
      <c r="D5" s="52" t="s">
        <v>179</v>
      </c>
      <c r="E5" s="104"/>
      <c r="F5" s="52" t="s">
        <v>283</v>
      </c>
      <c r="G5" s="52" t="s">
        <v>179</v>
      </c>
      <c r="H5" s="104"/>
      <c r="I5" s="52" t="s">
        <v>284</v>
      </c>
      <c r="J5" s="52" t="s">
        <v>179</v>
      </c>
      <c r="K5" s="104"/>
      <c r="L5" s="52" t="s">
        <v>285</v>
      </c>
      <c r="M5" s="52" t="s">
        <v>179</v>
      </c>
      <c r="N5" s="481"/>
      <c r="O5" s="55" t="s">
        <v>286</v>
      </c>
      <c r="P5" s="52" t="s">
        <v>179</v>
      </c>
      <c r="Q5" s="104"/>
      <c r="R5" s="55" t="s">
        <v>287</v>
      </c>
      <c r="S5" s="52" t="s">
        <v>179</v>
      </c>
      <c r="T5" s="52" t="s">
        <v>288</v>
      </c>
      <c r="U5" s="52" t="s">
        <v>179</v>
      </c>
      <c r="V5" s="52" t="s">
        <v>289</v>
      </c>
      <c r="W5" s="52" t="s">
        <v>179</v>
      </c>
      <c r="Y5" s="75" t="s">
        <v>290</v>
      </c>
      <c r="Z5" s="75" t="s">
        <v>187</v>
      </c>
      <c r="AA5" s="75" t="s">
        <v>291</v>
      </c>
      <c r="AB5" s="75" t="s">
        <v>292</v>
      </c>
    </row>
    <row r="6" spans="1:28" ht="18.75" customHeight="1" thickTop="1">
      <c r="A6" s="763">
        <v>46204</v>
      </c>
      <c r="B6" s="60"/>
      <c r="C6" s="756"/>
      <c r="D6" s="173"/>
      <c r="E6" s="563"/>
      <c r="F6" s="173"/>
      <c r="G6" s="173"/>
      <c r="H6" s="563"/>
      <c r="I6" s="173"/>
      <c r="J6" s="173"/>
      <c r="K6" s="563"/>
      <c r="L6" s="166"/>
      <c r="M6" s="166"/>
      <c r="N6" s="563"/>
      <c r="O6" s="170"/>
      <c r="P6" s="173"/>
      <c r="Q6" s="563"/>
      <c r="R6" s="165"/>
      <c r="S6" s="165"/>
      <c r="T6" s="165"/>
      <c r="U6" s="165"/>
      <c r="V6" s="165"/>
      <c r="W6" s="166"/>
      <c r="Y6" s="564"/>
      <c r="Z6" s="565"/>
      <c r="AA6" s="566"/>
      <c r="AB6" s="564"/>
    </row>
    <row r="7" spans="1:28" ht="18.75" customHeight="1">
      <c r="A7" s="764">
        <v>46205</v>
      </c>
      <c r="B7" s="60"/>
      <c r="C7" s="757"/>
      <c r="D7" s="164"/>
      <c r="E7" s="563"/>
      <c r="F7" s="164"/>
      <c r="G7" s="164"/>
      <c r="H7" s="563"/>
      <c r="I7" s="164"/>
      <c r="J7" s="164"/>
      <c r="K7" s="563"/>
      <c r="L7" s="173"/>
      <c r="M7" s="173"/>
      <c r="N7" s="563"/>
      <c r="O7" s="165"/>
      <c r="P7" s="164"/>
      <c r="Q7" s="563"/>
      <c r="R7" s="165"/>
      <c r="S7" s="165"/>
      <c r="T7" s="164"/>
      <c r="U7" s="164"/>
      <c r="V7" s="165"/>
      <c r="W7" s="166"/>
      <c r="Y7" s="567"/>
      <c r="Z7" s="568"/>
      <c r="AA7" s="569"/>
      <c r="AB7" s="567"/>
    </row>
    <row r="8" spans="1:28" ht="23.25" customHeight="1">
      <c r="A8" s="764">
        <v>46206</v>
      </c>
      <c r="B8" s="60"/>
      <c r="C8" s="757"/>
      <c r="D8" s="166"/>
      <c r="E8" s="563"/>
      <c r="F8" s="165"/>
      <c r="G8" s="165"/>
      <c r="H8" s="563"/>
      <c r="I8" s="165"/>
      <c r="J8" s="166"/>
      <c r="K8" s="563"/>
      <c r="L8" s="165"/>
      <c r="M8" s="166"/>
      <c r="N8" s="563"/>
      <c r="O8" s="165"/>
      <c r="P8" s="165"/>
      <c r="Q8" s="563"/>
      <c r="R8" s="165"/>
      <c r="S8" s="165"/>
      <c r="T8" s="165"/>
      <c r="U8" s="165"/>
      <c r="V8" s="165"/>
      <c r="W8" s="165"/>
      <c r="Y8" s="567"/>
      <c r="Z8" s="568"/>
      <c r="AA8" s="569"/>
      <c r="AB8" s="567"/>
    </row>
    <row r="9" spans="1:28" ht="17.25" customHeight="1">
      <c r="A9" s="764">
        <v>46207</v>
      </c>
      <c r="B9" s="697"/>
      <c r="C9" s="757"/>
      <c r="D9" s="164"/>
      <c r="E9" s="563"/>
      <c r="F9" s="164"/>
      <c r="G9" s="164"/>
      <c r="H9" s="563"/>
      <c r="I9" s="164"/>
      <c r="J9" s="164"/>
      <c r="K9" s="563"/>
      <c r="L9" s="165"/>
      <c r="M9" s="166"/>
      <c r="N9" s="563"/>
      <c r="O9" s="165"/>
      <c r="P9" s="164"/>
      <c r="Q9" s="563"/>
      <c r="R9" s="165"/>
      <c r="S9" s="165"/>
      <c r="T9" s="164"/>
      <c r="U9" s="164"/>
      <c r="V9" s="165"/>
      <c r="W9" s="165"/>
      <c r="Y9" s="698"/>
      <c r="Z9" s="699"/>
      <c r="AA9" s="700"/>
      <c r="AB9" s="701"/>
    </row>
    <row r="10" spans="1:28" ht="17.25" customHeight="1">
      <c r="A10" s="764">
        <v>46208</v>
      </c>
      <c r="B10" s="60"/>
      <c r="C10" s="757"/>
      <c r="D10" s="164"/>
      <c r="E10" s="563"/>
      <c r="F10" s="164"/>
      <c r="G10" s="164"/>
      <c r="H10" s="563"/>
      <c r="I10" s="164"/>
      <c r="J10" s="164"/>
      <c r="K10" s="563"/>
      <c r="L10" s="165"/>
      <c r="M10" s="166"/>
      <c r="N10" s="563"/>
      <c r="O10" s="165"/>
      <c r="P10" s="164"/>
      <c r="Q10" s="563"/>
      <c r="R10" s="165"/>
      <c r="S10" s="165"/>
      <c r="T10" s="165"/>
      <c r="U10" s="165"/>
      <c r="V10" s="165"/>
      <c r="W10" s="165"/>
      <c r="Y10" s="201" t="s">
        <v>293</v>
      </c>
      <c r="Z10" s="202">
        <f>D37</f>
        <v>0</v>
      </c>
      <c r="AA10" s="203">
        <v>0</v>
      </c>
      <c r="AB10" s="201"/>
    </row>
    <row r="11" spans="1:28" ht="18.75" customHeight="1">
      <c r="A11" s="764">
        <v>46209</v>
      </c>
      <c r="B11" s="60"/>
      <c r="C11" s="757"/>
      <c r="D11" s="164"/>
      <c r="E11" s="563"/>
      <c r="F11" s="164"/>
      <c r="G11" s="164"/>
      <c r="H11" s="563"/>
      <c r="I11" s="164"/>
      <c r="J11" s="164"/>
      <c r="K11" s="563"/>
      <c r="L11" s="165"/>
      <c r="M11" s="166"/>
      <c r="N11" s="563"/>
      <c r="O11" s="165"/>
      <c r="P11" s="164"/>
      <c r="Q11" s="563"/>
      <c r="R11" s="165"/>
      <c r="S11" s="164"/>
      <c r="T11" s="164"/>
      <c r="U11" s="164"/>
      <c r="V11" s="165"/>
      <c r="W11" s="164"/>
      <c r="Y11" s="201" t="s">
        <v>294</v>
      </c>
      <c r="Z11" s="202">
        <f>J37</f>
        <v>0</v>
      </c>
      <c r="AA11" s="203">
        <v>0</v>
      </c>
      <c r="AB11" s="201"/>
    </row>
    <row r="12" spans="1:28" ht="18.75" customHeight="1">
      <c r="A12" s="766">
        <v>46210</v>
      </c>
      <c r="B12" s="767"/>
      <c r="C12" s="702"/>
      <c r="D12" s="680"/>
      <c r="E12" s="769"/>
      <c r="F12" s="680"/>
      <c r="G12" s="680"/>
      <c r="H12" s="769"/>
      <c r="I12" s="680"/>
      <c r="J12" s="680"/>
      <c r="K12" s="769"/>
      <c r="L12" s="681"/>
      <c r="M12" s="682"/>
      <c r="N12" s="769"/>
      <c r="O12" s="681"/>
      <c r="P12" s="680"/>
      <c r="Q12" s="769"/>
      <c r="R12" s="680"/>
      <c r="S12" s="680"/>
      <c r="T12" s="680"/>
      <c r="U12" s="680"/>
      <c r="V12" s="681"/>
      <c r="W12" s="680"/>
      <c r="X12" s="771"/>
      <c r="Y12" s="201" t="s">
        <v>295</v>
      </c>
      <c r="Z12" s="202">
        <f>M37</f>
        <v>0</v>
      </c>
      <c r="AA12" s="203">
        <v>0</v>
      </c>
      <c r="AB12" s="201"/>
    </row>
    <row r="13" spans="1:28" ht="18.75" customHeight="1">
      <c r="A13" s="764">
        <v>46211</v>
      </c>
      <c r="B13" s="60"/>
      <c r="C13" s="757"/>
      <c r="D13" s="164"/>
      <c r="E13" s="563"/>
      <c r="F13" s="164"/>
      <c r="G13" s="164"/>
      <c r="H13" s="563"/>
      <c r="I13" s="164"/>
      <c r="J13" s="164"/>
      <c r="K13" s="563"/>
      <c r="L13" s="165"/>
      <c r="M13" s="166"/>
      <c r="N13" s="563"/>
      <c r="O13" s="165"/>
      <c r="P13" s="164"/>
      <c r="Q13" s="563"/>
      <c r="R13" s="165"/>
      <c r="S13" s="165"/>
      <c r="T13" s="165"/>
      <c r="U13" s="165"/>
      <c r="V13" s="165"/>
      <c r="W13" s="164"/>
      <c r="Y13" s="201" t="s">
        <v>296</v>
      </c>
      <c r="Z13" s="202">
        <f>G37</f>
        <v>0</v>
      </c>
      <c r="AA13" s="203">
        <v>0</v>
      </c>
      <c r="AB13" s="201"/>
    </row>
    <row r="14" spans="1:28" ht="18.75" customHeight="1">
      <c r="A14" s="766">
        <v>46212</v>
      </c>
      <c r="B14" s="767"/>
      <c r="C14" s="768"/>
      <c r="D14" s="680"/>
      <c r="E14" s="769"/>
      <c r="F14" s="680"/>
      <c r="G14" s="680"/>
      <c r="H14" s="769"/>
      <c r="I14" s="680"/>
      <c r="J14" s="680"/>
      <c r="K14" s="769"/>
      <c r="L14" s="770"/>
      <c r="M14" s="770"/>
      <c r="N14" s="769"/>
      <c r="O14" s="681"/>
      <c r="P14" s="680"/>
      <c r="Q14" s="769"/>
      <c r="R14" s="681"/>
      <c r="S14" s="680"/>
      <c r="T14" s="680"/>
      <c r="U14" s="680"/>
      <c r="V14" s="681"/>
      <c r="W14" s="680"/>
      <c r="X14" s="771"/>
      <c r="Y14" s="201" t="s">
        <v>297</v>
      </c>
      <c r="Z14" s="201">
        <v>0</v>
      </c>
      <c r="AA14" s="203">
        <v>0</v>
      </c>
      <c r="AB14" s="201"/>
    </row>
    <row r="15" spans="1:28" ht="18.75" customHeight="1" thickBot="1">
      <c r="A15" s="764">
        <v>46213</v>
      </c>
      <c r="B15" s="60"/>
      <c r="C15" s="756"/>
      <c r="D15" s="164"/>
      <c r="E15" s="563"/>
      <c r="F15" s="164"/>
      <c r="G15" s="164"/>
      <c r="H15" s="563"/>
      <c r="I15" s="164"/>
      <c r="J15" s="164"/>
      <c r="K15" s="563"/>
      <c r="L15" s="173"/>
      <c r="M15" s="173"/>
      <c r="N15" s="563"/>
      <c r="O15" s="165"/>
      <c r="P15" s="164"/>
      <c r="Q15" s="563"/>
      <c r="R15" s="165"/>
      <c r="S15" s="164"/>
      <c r="T15" s="164"/>
      <c r="U15" s="164"/>
      <c r="V15" s="165"/>
      <c r="W15" s="164"/>
      <c r="Y15" s="593"/>
      <c r="Z15" s="594"/>
      <c r="AA15" s="595"/>
      <c r="AB15" s="596"/>
    </row>
    <row r="16" spans="1:28" ht="18.75" customHeight="1" thickTop="1" thickBot="1">
      <c r="A16" s="764">
        <v>46214</v>
      </c>
      <c r="B16" s="60"/>
      <c r="C16" s="757"/>
      <c r="D16" s="164"/>
      <c r="E16" s="563"/>
      <c r="F16" s="164"/>
      <c r="G16" s="164"/>
      <c r="H16" s="563"/>
      <c r="I16" s="164"/>
      <c r="J16" s="164"/>
      <c r="K16" s="563"/>
      <c r="L16" s="173"/>
      <c r="M16" s="166"/>
      <c r="N16" s="563"/>
      <c r="O16" s="165"/>
      <c r="P16" s="164"/>
      <c r="Q16" s="563"/>
      <c r="R16" s="165"/>
      <c r="S16" s="164"/>
      <c r="T16" s="164"/>
      <c r="U16" s="164"/>
      <c r="V16" s="165"/>
      <c r="W16" s="164"/>
      <c r="Y16" s="587" t="s">
        <v>61</v>
      </c>
      <c r="Z16" s="588">
        <f>SUM(Z10:Z15)</f>
        <v>0</v>
      </c>
      <c r="AA16" s="589">
        <f>SUM(AA10:AA15)</f>
        <v>0</v>
      </c>
      <c r="AB16" s="587"/>
    </row>
    <row r="17" spans="1:28" ht="18.75" customHeight="1" thickTop="1">
      <c r="A17" s="764">
        <v>46215</v>
      </c>
      <c r="B17" s="60"/>
      <c r="C17" s="757"/>
      <c r="D17" s="164"/>
      <c r="E17" s="563"/>
      <c r="F17" s="164"/>
      <c r="G17" s="164"/>
      <c r="H17" s="563"/>
      <c r="I17" s="164"/>
      <c r="J17" s="164"/>
      <c r="K17" s="563"/>
      <c r="L17" s="173"/>
      <c r="M17" s="166"/>
      <c r="N17" s="563"/>
      <c r="O17" s="165"/>
      <c r="P17" s="164"/>
      <c r="Q17" s="563"/>
      <c r="R17" s="165"/>
      <c r="S17" s="164"/>
      <c r="T17" s="164"/>
      <c r="U17" s="164"/>
      <c r="V17" s="165"/>
      <c r="W17" s="164"/>
      <c r="Y17" s="590"/>
      <c r="Z17" s="591"/>
      <c r="AA17" s="592"/>
      <c r="AB17" s="590"/>
    </row>
    <row r="18" spans="1:28" ht="18.75" customHeight="1">
      <c r="A18" s="764">
        <v>46216</v>
      </c>
      <c r="B18" s="60"/>
      <c r="C18" s="756"/>
      <c r="D18" s="164"/>
      <c r="E18" s="563"/>
      <c r="F18" s="164"/>
      <c r="G18" s="164"/>
      <c r="H18" s="563"/>
      <c r="I18" s="164"/>
      <c r="J18" s="164"/>
      <c r="K18" s="563"/>
      <c r="L18" s="165"/>
      <c r="M18" s="166"/>
      <c r="N18" s="563"/>
      <c r="O18" s="165"/>
      <c r="P18" s="164"/>
      <c r="Q18" s="563"/>
      <c r="R18" s="165"/>
      <c r="S18" s="164"/>
      <c r="T18" s="164"/>
      <c r="U18" s="164"/>
      <c r="V18" s="165"/>
      <c r="W18" s="164"/>
      <c r="Y18" s="201" t="s">
        <v>289</v>
      </c>
      <c r="Z18" s="202">
        <f>W37</f>
        <v>0</v>
      </c>
      <c r="AA18" s="203">
        <v>0</v>
      </c>
      <c r="AB18" s="201"/>
    </row>
    <row r="19" spans="1:28" ht="18.75" customHeight="1">
      <c r="A19" s="764">
        <v>46217</v>
      </c>
      <c r="B19" s="60"/>
      <c r="C19" s="756"/>
      <c r="D19" s="164"/>
      <c r="E19" s="563"/>
      <c r="F19" s="164"/>
      <c r="G19" s="164"/>
      <c r="H19" s="563"/>
      <c r="I19" s="164"/>
      <c r="J19" s="164"/>
      <c r="K19" s="563"/>
      <c r="L19" s="173"/>
      <c r="M19" s="173"/>
      <c r="N19" s="563"/>
      <c r="O19" s="165"/>
      <c r="P19" s="164"/>
      <c r="Q19" s="563"/>
      <c r="R19" s="165"/>
      <c r="S19" s="164"/>
      <c r="T19" s="164"/>
      <c r="U19" s="164"/>
      <c r="V19" s="165"/>
      <c r="W19" s="164"/>
      <c r="Y19" s="201" t="s">
        <v>287</v>
      </c>
      <c r="Z19" s="202">
        <v>0</v>
      </c>
      <c r="AA19" s="203">
        <v>0</v>
      </c>
      <c r="AB19" s="201"/>
    </row>
    <row r="20" spans="1:28" ht="18.75" customHeight="1">
      <c r="A20" s="764">
        <v>46218</v>
      </c>
      <c r="B20" s="60"/>
      <c r="C20" s="757"/>
      <c r="D20" s="164"/>
      <c r="E20" s="563"/>
      <c r="F20" s="164"/>
      <c r="G20" s="164"/>
      <c r="H20" s="563"/>
      <c r="I20" s="164"/>
      <c r="J20" s="164"/>
      <c r="K20" s="563"/>
      <c r="L20" s="173"/>
      <c r="M20" s="173"/>
      <c r="N20" s="563"/>
      <c r="O20" s="165"/>
      <c r="P20" s="164"/>
      <c r="Q20" s="563"/>
      <c r="R20" s="165"/>
      <c r="S20" s="164"/>
      <c r="T20" s="164"/>
      <c r="U20" s="164"/>
      <c r="V20" s="165"/>
      <c r="W20" s="164"/>
      <c r="Y20" s="201" t="s">
        <v>288</v>
      </c>
      <c r="Z20" s="202">
        <v>0</v>
      </c>
      <c r="AA20" s="203">
        <v>0</v>
      </c>
      <c r="AB20" s="201"/>
    </row>
    <row r="21" spans="1:28" ht="18.75" customHeight="1">
      <c r="A21" s="764">
        <v>46219</v>
      </c>
      <c r="B21" s="60"/>
      <c r="C21" s="756"/>
      <c r="D21" s="164"/>
      <c r="E21" s="563"/>
      <c r="F21" s="164"/>
      <c r="G21" s="164"/>
      <c r="H21" s="563"/>
      <c r="I21" s="164"/>
      <c r="J21" s="164"/>
      <c r="K21" s="563"/>
      <c r="L21" s="173"/>
      <c r="M21" s="173"/>
      <c r="N21" s="563"/>
      <c r="O21" s="165"/>
      <c r="P21" s="164"/>
      <c r="Q21" s="563"/>
      <c r="R21" s="165"/>
      <c r="S21" s="164"/>
      <c r="T21" s="164"/>
      <c r="U21" s="164"/>
      <c r="V21" s="165"/>
      <c r="W21" s="164"/>
      <c r="Y21" s="207"/>
      <c r="Z21" s="208"/>
      <c r="AA21" s="208"/>
      <c r="AB21" s="210"/>
    </row>
    <row r="22" spans="1:28" s="127" customFormat="1" ht="18.75" customHeight="1" thickBot="1">
      <c r="A22" s="764">
        <v>46220</v>
      </c>
      <c r="B22" s="286"/>
      <c r="C22" s="757"/>
      <c r="D22" s="164"/>
      <c r="E22" s="563"/>
      <c r="F22" s="164"/>
      <c r="G22" s="164"/>
      <c r="H22" s="563"/>
      <c r="I22" s="164"/>
      <c r="J22" s="164"/>
      <c r="K22" s="563"/>
      <c r="L22" s="173"/>
      <c r="M22" s="173"/>
      <c r="N22" s="563"/>
      <c r="O22" s="165"/>
      <c r="P22" s="164"/>
      <c r="Q22" s="563"/>
      <c r="R22" s="165"/>
      <c r="S22" s="164"/>
      <c r="T22" s="164"/>
      <c r="U22" s="164"/>
      <c r="V22" s="165"/>
      <c r="W22" s="164"/>
      <c r="X22" s="571"/>
      <c r="Y22" s="584" t="s">
        <v>61</v>
      </c>
      <c r="Z22" s="585">
        <f>SUM(Z18:Z21)</f>
        <v>0</v>
      </c>
      <c r="AA22" s="586">
        <f>SUM(AA18:AA21)</f>
        <v>0</v>
      </c>
      <c r="AB22" s="584"/>
    </row>
    <row r="23" spans="1:28" ht="18.75" customHeight="1" thickTop="1">
      <c r="A23" s="764">
        <v>46221</v>
      </c>
      <c r="B23" s="60"/>
      <c r="C23" s="757"/>
      <c r="D23" s="164"/>
      <c r="E23" s="563"/>
      <c r="F23" s="164"/>
      <c r="G23" s="164"/>
      <c r="H23" s="563"/>
      <c r="I23" s="164"/>
      <c r="J23" s="164"/>
      <c r="K23" s="563"/>
      <c r="L23" s="173"/>
      <c r="M23" s="173"/>
      <c r="N23" s="563"/>
      <c r="O23" s="165"/>
      <c r="P23" s="164"/>
      <c r="Q23" s="563"/>
      <c r="R23" s="165"/>
      <c r="S23" s="164"/>
      <c r="T23" s="164"/>
      <c r="U23" s="164"/>
      <c r="V23" s="165"/>
      <c r="W23" s="164"/>
      <c r="Z23" s="214"/>
      <c r="AA23" s="215"/>
    </row>
    <row r="24" spans="1:28" ht="18.75" customHeight="1">
      <c r="A24" s="764">
        <v>46222</v>
      </c>
      <c r="B24" s="60"/>
      <c r="C24" s="757"/>
      <c r="D24" s="164"/>
      <c r="E24" s="563"/>
      <c r="F24" s="164"/>
      <c r="G24" s="164"/>
      <c r="H24" s="563"/>
      <c r="I24" s="164"/>
      <c r="J24" s="164"/>
      <c r="K24" s="563"/>
      <c r="L24" s="173"/>
      <c r="M24" s="173"/>
      <c r="N24" s="563"/>
      <c r="O24" s="165"/>
      <c r="P24" s="164"/>
      <c r="Q24" s="563"/>
      <c r="R24" s="165"/>
      <c r="S24" s="164"/>
      <c r="T24" s="164"/>
      <c r="U24" s="164"/>
      <c r="V24" s="165"/>
      <c r="W24" s="164"/>
      <c r="Z24" s="214"/>
      <c r="AA24" s="215"/>
    </row>
    <row r="25" spans="1:28" ht="18.75" customHeight="1">
      <c r="A25" s="764">
        <v>46223</v>
      </c>
      <c r="B25" s="60"/>
      <c r="C25" s="757"/>
      <c r="D25" s="165"/>
      <c r="E25" s="563"/>
      <c r="F25" s="165"/>
      <c r="G25" s="165"/>
      <c r="H25" s="563"/>
      <c r="I25" s="165"/>
      <c r="J25" s="165"/>
      <c r="K25" s="563"/>
      <c r="L25" s="173"/>
      <c r="M25" s="173"/>
      <c r="N25" s="563"/>
      <c r="O25" s="165"/>
      <c r="P25" s="165"/>
      <c r="Q25" s="563"/>
      <c r="R25" s="165"/>
      <c r="S25" s="165"/>
      <c r="T25" s="165"/>
      <c r="U25" s="165"/>
      <c r="V25" s="165"/>
      <c r="W25" s="165"/>
      <c r="Z25" s="214"/>
      <c r="AA25" s="215"/>
    </row>
    <row r="26" spans="1:28" ht="18.75" customHeight="1">
      <c r="A26" s="764">
        <v>46224</v>
      </c>
      <c r="B26" s="60"/>
      <c r="C26" s="756"/>
      <c r="D26" s="164"/>
      <c r="E26" s="563"/>
      <c r="F26" s="164"/>
      <c r="G26" s="164"/>
      <c r="H26" s="563"/>
      <c r="I26" s="164"/>
      <c r="J26" s="164"/>
      <c r="K26" s="563"/>
      <c r="L26" s="173"/>
      <c r="M26" s="173"/>
      <c r="N26" s="563"/>
      <c r="O26" s="165"/>
      <c r="P26" s="164"/>
      <c r="Q26" s="563"/>
      <c r="R26" s="165"/>
      <c r="S26" s="164"/>
      <c r="T26" s="164"/>
      <c r="U26" s="164"/>
      <c r="V26" s="164"/>
      <c r="W26" s="164"/>
    </row>
    <row r="27" spans="1:28" ht="18.75" customHeight="1">
      <c r="A27" s="764">
        <v>46225</v>
      </c>
      <c r="B27" s="60"/>
      <c r="C27" s="757"/>
      <c r="D27" s="164"/>
      <c r="E27" s="563"/>
      <c r="F27" s="164"/>
      <c r="G27" s="164"/>
      <c r="H27" s="563"/>
      <c r="I27" s="164"/>
      <c r="J27" s="164"/>
      <c r="K27" s="563"/>
      <c r="L27" s="173"/>
      <c r="M27" s="173"/>
      <c r="N27" s="563"/>
      <c r="O27" s="164"/>
      <c r="P27" s="164"/>
      <c r="Q27" s="563"/>
      <c r="R27" s="165"/>
      <c r="S27" s="164"/>
      <c r="T27" s="164"/>
      <c r="U27" s="164"/>
      <c r="V27" s="165"/>
      <c r="W27" s="164"/>
    </row>
    <row r="28" spans="1:28" ht="18.75" customHeight="1">
      <c r="A28" s="764">
        <v>46226</v>
      </c>
      <c r="B28" s="60"/>
      <c r="C28" s="757"/>
      <c r="D28" s="164"/>
      <c r="E28" s="563"/>
      <c r="F28" s="166"/>
      <c r="G28" s="164"/>
      <c r="H28" s="563"/>
      <c r="I28" s="164"/>
      <c r="J28" s="164"/>
      <c r="K28" s="563"/>
      <c r="L28" s="173"/>
      <c r="M28" s="166"/>
      <c r="N28" s="563"/>
      <c r="O28" s="164"/>
      <c r="P28" s="164"/>
      <c r="Q28" s="563"/>
      <c r="R28" s="165"/>
      <c r="S28" s="164"/>
      <c r="T28" s="164"/>
      <c r="U28" s="164"/>
      <c r="V28" s="165"/>
      <c r="W28" s="164"/>
      <c r="Y28" s="39"/>
      <c r="Z28" s="39"/>
      <c r="AA28" s="39"/>
      <c r="AB28" s="39"/>
    </row>
    <row r="29" spans="1:28" ht="18.75" customHeight="1">
      <c r="A29" s="764">
        <v>46227</v>
      </c>
      <c r="B29" s="60"/>
      <c r="C29" s="757"/>
      <c r="D29" s="164"/>
      <c r="E29" s="563"/>
      <c r="F29" s="166"/>
      <c r="G29" s="164"/>
      <c r="H29" s="563"/>
      <c r="I29" s="164"/>
      <c r="J29" s="164"/>
      <c r="K29" s="563"/>
      <c r="L29" s="173"/>
      <c r="M29" s="166"/>
      <c r="N29" s="563"/>
      <c r="O29" s="164"/>
      <c r="P29" s="164"/>
      <c r="Q29" s="563"/>
      <c r="R29" s="165"/>
      <c r="S29" s="164"/>
      <c r="T29" s="164"/>
      <c r="U29" s="164"/>
      <c r="V29" s="165"/>
      <c r="W29" s="164"/>
      <c r="Y29" s="39"/>
      <c r="Z29" s="39"/>
      <c r="AA29" s="39"/>
      <c r="AB29" s="39"/>
    </row>
    <row r="30" spans="1:28" ht="18.75" customHeight="1">
      <c r="A30" s="764">
        <v>46228</v>
      </c>
      <c r="B30" s="60"/>
      <c r="C30" s="757"/>
      <c r="D30" s="164"/>
      <c r="E30" s="563"/>
      <c r="F30" s="164"/>
      <c r="G30" s="164"/>
      <c r="H30" s="563"/>
      <c r="I30" s="164"/>
      <c r="J30" s="164"/>
      <c r="K30" s="563"/>
      <c r="L30" s="173"/>
      <c r="M30" s="173"/>
      <c r="N30" s="563"/>
      <c r="O30" s="164"/>
      <c r="P30" s="164"/>
      <c r="Q30" s="563"/>
      <c r="R30" s="165"/>
      <c r="S30" s="164"/>
      <c r="T30" s="164"/>
      <c r="U30" s="164"/>
      <c r="V30" s="164"/>
      <c r="W30" s="164"/>
      <c r="Y30" s="39"/>
      <c r="Z30" s="39"/>
      <c r="AA30" s="39"/>
      <c r="AB30" s="39"/>
    </row>
    <row r="31" spans="1:28" ht="18.75" customHeight="1">
      <c r="A31" s="764">
        <v>46229</v>
      </c>
      <c r="B31" s="60"/>
      <c r="C31" s="757"/>
      <c r="D31" s="164"/>
      <c r="E31" s="563"/>
      <c r="F31" s="164"/>
      <c r="G31" s="164"/>
      <c r="H31" s="563"/>
      <c r="I31" s="164"/>
      <c r="J31" s="164"/>
      <c r="K31" s="563"/>
      <c r="L31" s="173"/>
      <c r="M31" s="166"/>
      <c r="N31" s="563"/>
      <c r="O31" s="164"/>
      <c r="P31" s="164"/>
      <c r="Q31" s="563"/>
      <c r="R31" s="164"/>
      <c r="S31" s="164"/>
      <c r="T31" s="164"/>
      <c r="U31" s="164"/>
      <c r="V31" s="164"/>
      <c r="W31" s="164"/>
      <c r="Y31" s="39"/>
      <c r="Z31" s="39"/>
      <c r="AA31" s="39"/>
      <c r="AB31" s="39"/>
    </row>
    <row r="32" spans="1:28" ht="18.75" customHeight="1">
      <c r="A32" s="764">
        <v>46230</v>
      </c>
      <c r="B32" s="60"/>
      <c r="C32" s="757"/>
      <c r="D32" s="164"/>
      <c r="E32" s="563"/>
      <c r="F32" s="166"/>
      <c r="G32" s="164"/>
      <c r="H32" s="563"/>
      <c r="I32" s="164"/>
      <c r="J32" s="164"/>
      <c r="K32" s="563"/>
      <c r="L32" s="166"/>
      <c r="M32" s="166"/>
      <c r="N32" s="563"/>
      <c r="O32" s="165"/>
      <c r="P32" s="164"/>
      <c r="Q32" s="563"/>
      <c r="R32" s="165"/>
      <c r="S32" s="164"/>
      <c r="T32" s="164"/>
      <c r="U32" s="164"/>
      <c r="V32" s="164"/>
      <c r="W32" s="164"/>
      <c r="Y32" s="39"/>
      <c r="Z32" s="39"/>
      <c r="AA32" s="39"/>
      <c r="AB32" s="39"/>
    </row>
    <row r="33" spans="1:29" ht="18.75" customHeight="1">
      <c r="A33" s="764">
        <v>46231</v>
      </c>
      <c r="B33" s="60"/>
      <c r="C33" s="756"/>
      <c r="D33" s="164"/>
      <c r="E33" s="563"/>
      <c r="F33" s="166"/>
      <c r="G33" s="164"/>
      <c r="H33" s="563"/>
      <c r="I33" s="164"/>
      <c r="J33" s="164"/>
      <c r="K33" s="563"/>
      <c r="L33" s="166"/>
      <c r="M33" s="166"/>
      <c r="N33" s="563"/>
      <c r="O33" s="165"/>
      <c r="P33" s="164"/>
      <c r="Q33" s="563"/>
      <c r="R33" s="165"/>
      <c r="S33" s="164"/>
      <c r="T33" s="164"/>
      <c r="U33" s="164"/>
      <c r="V33" s="164"/>
      <c r="W33" s="164"/>
      <c r="Y33" s="39"/>
      <c r="Z33" s="39"/>
      <c r="AA33" s="39"/>
      <c r="AB33" s="39"/>
    </row>
    <row r="34" spans="1:29" ht="18.75" customHeight="1">
      <c r="A34" s="764">
        <v>46232</v>
      </c>
      <c r="B34" s="60"/>
      <c r="C34" s="757"/>
      <c r="D34" s="164"/>
      <c r="E34" s="563"/>
      <c r="F34" s="164"/>
      <c r="G34" s="164"/>
      <c r="H34" s="563"/>
      <c r="I34" s="164"/>
      <c r="J34" s="164"/>
      <c r="K34" s="563"/>
      <c r="L34" s="173"/>
      <c r="M34" s="166"/>
      <c r="N34" s="563"/>
      <c r="O34" s="165"/>
      <c r="P34" s="164"/>
      <c r="Q34" s="563"/>
      <c r="R34" s="165"/>
      <c r="S34" s="164"/>
      <c r="T34" s="164"/>
      <c r="U34" s="164"/>
      <c r="V34" s="164"/>
      <c r="W34" s="164"/>
      <c r="Y34" s="39"/>
      <c r="Z34" s="39"/>
      <c r="AA34" s="39"/>
      <c r="AB34" s="39"/>
    </row>
    <row r="35" spans="1:29" ht="18.75" customHeight="1" thickBot="1">
      <c r="A35" s="764">
        <v>46233</v>
      </c>
      <c r="B35" s="60"/>
      <c r="C35" s="758"/>
      <c r="D35" s="759"/>
      <c r="E35" s="563"/>
      <c r="F35" s="759"/>
      <c r="G35" s="759"/>
      <c r="H35" s="563"/>
      <c r="I35" s="759"/>
      <c r="J35" s="759"/>
      <c r="K35" s="563"/>
      <c r="L35" s="173"/>
      <c r="M35" s="173"/>
      <c r="N35" s="563"/>
      <c r="O35" s="760"/>
      <c r="P35" s="759"/>
      <c r="Q35" s="563"/>
      <c r="R35" s="760"/>
      <c r="S35" s="759"/>
      <c r="T35" s="759"/>
      <c r="U35" s="759"/>
      <c r="V35" s="759"/>
      <c r="W35" s="759"/>
      <c r="Y35" s="39"/>
      <c r="Z35" s="39"/>
      <c r="AA35" s="39"/>
      <c r="AB35" s="39"/>
    </row>
    <row r="36" spans="1:29" ht="18.75" customHeight="1" thickTop="1" thickBot="1">
      <c r="A36" s="765">
        <v>46234</v>
      </c>
      <c r="B36" s="60"/>
      <c r="C36" s="761"/>
      <c r="D36" s="563"/>
      <c r="E36" s="563"/>
      <c r="F36" s="563"/>
      <c r="G36" s="563"/>
      <c r="H36" s="563"/>
      <c r="I36" s="563"/>
      <c r="J36" s="563"/>
      <c r="K36" s="563"/>
      <c r="L36" s="173"/>
      <c r="M36" s="173"/>
      <c r="N36" s="563"/>
      <c r="O36" s="762"/>
      <c r="P36" s="563"/>
      <c r="Q36" s="563"/>
      <c r="R36" s="762"/>
      <c r="S36" s="563"/>
      <c r="T36" s="563"/>
      <c r="U36" s="563"/>
      <c r="V36" s="563"/>
      <c r="W36" s="563"/>
      <c r="Y36" s="39"/>
      <c r="Z36" s="39"/>
      <c r="AA36" s="39"/>
      <c r="AB36" s="39"/>
    </row>
    <row r="37" spans="1:29" s="127" customFormat="1" ht="18.75" customHeight="1" thickTop="1">
      <c r="A37" s="574" t="s">
        <v>298</v>
      </c>
      <c r="C37" s="170"/>
      <c r="D37" s="171">
        <f>SUM(D6:D35)</f>
        <v>0</v>
      </c>
      <c r="E37" s="563"/>
      <c r="F37" s="173"/>
      <c r="G37" s="171">
        <v>0</v>
      </c>
      <c r="H37" s="563"/>
      <c r="I37" s="173"/>
      <c r="J37" s="171">
        <f>SUM(J6:J35)</f>
        <v>0</v>
      </c>
      <c r="K37" s="563"/>
      <c r="L37" s="173"/>
      <c r="M37" s="171">
        <f>SUM(M6:M35)</f>
        <v>0</v>
      </c>
      <c r="N37" s="172"/>
      <c r="O37" s="170"/>
      <c r="P37" s="171">
        <v>0</v>
      </c>
      <c r="Q37" s="563"/>
      <c r="R37" s="170"/>
      <c r="S37" s="171">
        <f>SUM(S6:S35)</f>
        <v>0</v>
      </c>
      <c r="T37" s="173"/>
      <c r="U37" s="171">
        <f>SUM(U6:U35)</f>
        <v>0</v>
      </c>
      <c r="V37" s="173"/>
      <c r="W37" s="171">
        <v>0</v>
      </c>
      <c r="X37" s="571"/>
      <c r="Y37" s="40"/>
      <c r="Z37" s="40"/>
      <c r="AA37" s="40"/>
      <c r="AB37" s="40"/>
      <c r="AC37" s="39"/>
    </row>
    <row r="38" spans="1:29" s="127" customFormat="1" ht="18.75" customHeight="1">
      <c r="A38" s="574" t="s">
        <v>30</v>
      </c>
      <c r="C38" s="175"/>
      <c r="D38" s="176">
        <v>0</v>
      </c>
      <c r="E38" s="182"/>
      <c r="F38" s="182"/>
      <c r="G38" s="176">
        <v>0</v>
      </c>
      <c r="H38" s="182"/>
      <c r="I38" s="182"/>
      <c r="J38" s="176">
        <v>0</v>
      </c>
      <c r="K38" s="182"/>
      <c r="L38" s="182"/>
      <c r="M38" s="176">
        <v>0</v>
      </c>
      <c r="N38" s="181"/>
      <c r="O38" s="175"/>
      <c r="P38" s="176">
        <v>0</v>
      </c>
      <c r="Q38" s="182"/>
      <c r="R38" s="175"/>
      <c r="S38" s="176">
        <v>0</v>
      </c>
      <c r="T38" s="182"/>
      <c r="U38" s="176">
        <v>0</v>
      </c>
      <c r="V38" s="182"/>
      <c r="W38" s="176">
        <v>0</v>
      </c>
      <c r="X38" s="571"/>
      <c r="Y38" s="40"/>
      <c r="Z38" s="40"/>
      <c r="AA38" s="40"/>
      <c r="AB38" s="40"/>
    </row>
    <row r="39" spans="1:29" s="127" customFormat="1" ht="18.75" customHeight="1">
      <c r="A39" s="574" t="s">
        <v>299</v>
      </c>
      <c r="C39" s="175"/>
      <c r="D39" s="176">
        <f>D37-D38</f>
        <v>0</v>
      </c>
      <c r="G39" s="176">
        <v>0</v>
      </c>
      <c r="J39" s="176">
        <f>J37-J38</f>
        <v>0</v>
      </c>
      <c r="M39" s="176">
        <f>M37-M38</f>
        <v>0</v>
      </c>
      <c r="N39" s="122"/>
      <c r="O39" s="175"/>
      <c r="P39" s="176">
        <v>0</v>
      </c>
      <c r="R39" s="175"/>
      <c r="S39" s="176">
        <f>S37-S38</f>
        <v>0</v>
      </c>
      <c r="U39" s="176">
        <f>U37-U38</f>
        <v>0</v>
      </c>
      <c r="W39" s="176">
        <v>0</v>
      </c>
      <c r="X39" s="571"/>
      <c r="Y39" s="40"/>
      <c r="Z39" s="40"/>
      <c r="AA39" s="40"/>
      <c r="AB39" s="40"/>
    </row>
    <row r="40" spans="1:29" s="127" customFormat="1" ht="18.75" customHeight="1">
      <c r="A40" s="574" t="s">
        <v>42</v>
      </c>
      <c r="C40" s="175"/>
      <c r="D40" s="178" t="e">
        <f>D38/D37</f>
        <v>#DIV/0!</v>
      </c>
      <c r="G40" s="178">
        <v>0</v>
      </c>
      <c r="J40" s="178" t="e">
        <f>J38/J37</f>
        <v>#DIV/0!</v>
      </c>
      <c r="M40" s="178" t="e">
        <f>M38/M37</f>
        <v>#DIV/0!</v>
      </c>
      <c r="N40" s="122"/>
      <c r="O40" s="175"/>
      <c r="P40" s="178" t="e">
        <f>P39/P37</f>
        <v>#DIV/0!</v>
      </c>
      <c r="R40" s="175"/>
      <c r="S40" s="178" t="e">
        <f>S39/S37</f>
        <v>#DIV/0!</v>
      </c>
      <c r="U40" s="178" t="e">
        <f>U39/U37</f>
        <v>#DIV/0!</v>
      </c>
      <c r="W40" s="178" t="e">
        <f>W39/W37</f>
        <v>#DIV/0!</v>
      </c>
      <c r="X40" s="571"/>
      <c r="Y40" s="40"/>
      <c r="Z40" s="40"/>
      <c r="AA40" s="40"/>
      <c r="AB40" s="40"/>
    </row>
    <row r="41" spans="1:29" ht="20.25">
      <c r="AC41" s="127"/>
    </row>
    <row r="43" spans="1:29" ht="26.25">
      <c r="C43" s="942" t="s">
        <v>300</v>
      </c>
      <c r="D43" s="942"/>
      <c r="E43" s="942"/>
      <c r="F43" s="942"/>
      <c r="G43" s="942"/>
      <c r="H43" s="942"/>
      <c r="I43" s="942"/>
      <c r="J43" s="942"/>
      <c r="K43" s="942"/>
      <c r="L43" s="942"/>
      <c r="M43" s="942"/>
      <c r="N43" s="942"/>
      <c r="O43" s="942"/>
      <c r="P43" s="942"/>
      <c r="Q43" s="942"/>
      <c r="R43" s="942"/>
      <c r="S43" s="942"/>
      <c r="T43" s="942"/>
      <c r="U43" s="942"/>
      <c r="V43" s="942"/>
    </row>
    <row r="44" spans="1:29" ht="15" customHeight="1" thickBot="1"/>
    <row r="45" spans="1:29" s="40" customFormat="1" ht="15" customHeight="1" thickTop="1">
      <c r="A45" s="575"/>
      <c r="C45" s="65" t="s">
        <v>282</v>
      </c>
      <c r="F45" s="65" t="s">
        <v>301</v>
      </c>
      <c r="G45" s="80"/>
      <c r="I45" s="67" t="s">
        <v>284</v>
      </c>
      <c r="J45" s="42"/>
      <c r="L45" s="67" t="s">
        <v>302</v>
      </c>
      <c r="M45" s="80"/>
      <c r="N45" s="232"/>
      <c r="O45" s="65" t="s">
        <v>303</v>
      </c>
      <c r="P45" s="42"/>
      <c r="R45" s="65" t="s">
        <v>287</v>
      </c>
      <c r="T45" s="67" t="s">
        <v>288</v>
      </c>
      <c r="V45" s="67" t="s">
        <v>289</v>
      </c>
      <c r="W45" s="63"/>
      <c r="X45" s="572"/>
    </row>
    <row r="46" spans="1:29" s="42" customFormat="1" ht="15" customHeight="1">
      <c r="A46" s="246"/>
      <c r="C46" s="64">
        <v>8113941</v>
      </c>
      <c r="D46" s="42" t="s">
        <v>304</v>
      </c>
      <c r="F46" s="43">
        <v>6.510703087008E+17</v>
      </c>
      <c r="G46" s="42" t="s">
        <v>305</v>
      </c>
      <c r="I46" s="43" t="s">
        <v>306</v>
      </c>
      <c r="J46" s="42" t="s">
        <v>304</v>
      </c>
      <c r="L46" s="43" t="s">
        <v>307</v>
      </c>
      <c r="M46" s="42" t="s">
        <v>308</v>
      </c>
      <c r="N46" s="228"/>
      <c r="O46" s="64" t="s">
        <v>309</v>
      </c>
      <c r="P46" s="42" t="s">
        <v>305</v>
      </c>
      <c r="R46" s="64">
        <v>28267282</v>
      </c>
      <c r="T46" s="43" t="s">
        <v>310</v>
      </c>
      <c r="V46" s="43" t="s">
        <v>311</v>
      </c>
      <c r="W46" s="62"/>
      <c r="X46" s="573"/>
      <c r="Y46" s="40"/>
      <c r="Z46" s="40"/>
      <c r="AA46" s="40"/>
      <c r="AB46" s="40"/>
    </row>
    <row r="47" spans="1:29" s="42" customFormat="1" ht="15" customHeight="1">
      <c r="A47" s="246"/>
      <c r="C47" s="64">
        <v>85000071</v>
      </c>
      <c r="D47" s="42" t="s">
        <v>304</v>
      </c>
      <c r="F47" s="43">
        <v>6.510704987008E+17</v>
      </c>
      <c r="G47" s="42" t="s">
        <v>305</v>
      </c>
      <c r="I47" s="43" t="s">
        <v>312</v>
      </c>
      <c r="J47" s="42" t="s">
        <v>304</v>
      </c>
      <c r="L47" s="43" t="s">
        <v>313</v>
      </c>
      <c r="M47" s="42" t="s">
        <v>305</v>
      </c>
      <c r="N47" s="228"/>
      <c r="O47" s="64" t="s">
        <v>314</v>
      </c>
      <c r="P47" s="42" t="s">
        <v>305</v>
      </c>
      <c r="R47" s="64">
        <v>28267283</v>
      </c>
      <c r="T47" s="43" t="s">
        <v>315</v>
      </c>
      <c r="V47" s="43" t="s">
        <v>316</v>
      </c>
      <c r="X47" s="573"/>
      <c r="Y47" s="40"/>
      <c r="Z47" s="40"/>
      <c r="AA47" s="40"/>
      <c r="AB47" s="40"/>
    </row>
    <row r="48" spans="1:29" s="42" customFormat="1" ht="15" customHeight="1" thickBot="1">
      <c r="A48" s="246"/>
      <c r="C48" s="64">
        <v>85003263</v>
      </c>
      <c r="D48" s="42" t="s">
        <v>317</v>
      </c>
      <c r="F48" s="48" t="s">
        <v>318</v>
      </c>
      <c r="I48" s="43" t="s">
        <v>319</v>
      </c>
      <c r="J48" s="42" t="s">
        <v>317</v>
      </c>
      <c r="L48" s="43" t="s">
        <v>320</v>
      </c>
      <c r="M48" s="42" t="s">
        <v>305</v>
      </c>
      <c r="N48" s="228"/>
      <c r="O48" s="66" t="s">
        <v>318</v>
      </c>
      <c r="R48" s="64">
        <v>28267284</v>
      </c>
      <c r="T48" s="48" t="s">
        <v>318</v>
      </c>
      <c r="V48" s="43" t="s">
        <v>321</v>
      </c>
      <c r="X48" s="573"/>
      <c r="Y48" s="40"/>
      <c r="Z48" s="40"/>
      <c r="AA48" s="40"/>
      <c r="AB48" s="40"/>
    </row>
    <row r="49" spans="1:28" s="42" customFormat="1" ht="15" customHeight="1" thickTop="1">
      <c r="A49" s="246"/>
      <c r="C49" s="64">
        <v>85003264</v>
      </c>
      <c r="D49" s="42" t="s">
        <v>317</v>
      </c>
      <c r="F49" s="945" t="s">
        <v>322</v>
      </c>
      <c r="G49" s="945"/>
      <c r="I49" s="43" t="s">
        <v>323</v>
      </c>
      <c r="J49" s="42" t="s">
        <v>317</v>
      </c>
      <c r="L49" s="43" t="s">
        <v>324</v>
      </c>
      <c r="M49" s="42" t="s">
        <v>308</v>
      </c>
      <c r="N49" s="228"/>
      <c r="O49" s="947" t="s">
        <v>325</v>
      </c>
      <c r="R49" s="64" t="s">
        <v>326</v>
      </c>
      <c r="V49" s="43" t="s">
        <v>327</v>
      </c>
      <c r="X49" s="573"/>
      <c r="Y49" s="40"/>
      <c r="Z49" s="40"/>
      <c r="AA49" s="40"/>
      <c r="AB49" s="40"/>
    </row>
    <row r="50" spans="1:28" s="42" customFormat="1" ht="15" customHeight="1">
      <c r="A50" s="246"/>
      <c r="C50" s="64">
        <v>85003268</v>
      </c>
      <c r="D50" s="42" t="s">
        <v>317</v>
      </c>
      <c r="F50" s="945"/>
      <c r="G50" s="945"/>
      <c r="I50" s="43" t="s">
        <v>328</v>
      </c>
      <c r="J50" s="42" t="s">
        <v>317</v>
      </c>
      <c r="L50" s="43" t="s">
        <v>329</v>
      </c>
      <c r="M50" s="42" t="s">
        <v>305</v>
      </c>
      <c r="N50" s="228"/>
      <c r="O50" s="948"/>
      <c r="R50" s="64" t="s">
        <v>330</v>
      </c>
      <c r="V50" s="43" t="s">
        <v>331</v>
      </c>
      <c r="X50" s="573"/>
      <c r="Y50" s="40"/>
      <c r="Z50" s="40"/>
      <c r="AA50" s="40"/>
      <c r="AB50" s="40"/>
    </row>
    <row r="51" spans="1:28" s="42" customFormat="1" ht="15" customHeight="1" thickBot="1">
      <c r="A51" s="246"/>
      <c r="C51" s="64">
        <v>85013271</v>
      </c>
      <c r="D51" s="42" t="s">
        <v>317</v>
      </c>
      <c r="F51" s="945"/>
      <c r="G51" s="945"/>
      <c r="I51" s="43" t="s">
        <v>332</v>
      </c>
      <c r="J51" s="42" t="s">
        <v>317</v>
      </c>
      <c r="L51" s="48" t="s">
        <v>333</v>
      </c>
      <c r="N51" s="228"/>
      <c r="O51" s="948"/>
      <c r="R51" s="64" t="s">
        <v>334</v>
      </c>
      <c r="V51" s="43" t="s">
        <v>335</v>
      </c>
      <c r="X51" s="573"/>
      <c r="Y51" s="40"/>
      <c r="Z51" s="40"/>
      <c r="AA51" s="40"/>
      <c r="AB51" s="40"/>
    </row>
    <row r="52" spans="1:28" s="42" customFormat="1" ht="15" customHeight="1" thickTop="1" thickBot="1">
      <c r="A52" s="246"/>
      <c r="C52" s="66" t="s">
        <v>336</v>
      </c>
      <c r="F52" s="946"/>
      <c r="G52" s="946"/>
      <c r="I52" s="43" t="s">
        <v>337</v>
      </c>
      <c r="J52" s="42" t="s">
        <v>317</v>
      </c>
      <c r="N52" s="228"/>
      <c r="O52" s="61"/>
      <c r="R52" s="64" t="s">
        <v>338</v>
      </c>
      <c r="V52" s="43" t="s">
        <v>339</v>
      </c>
      <c r="X52" s="573"/>
      <c r="Y52" s="40"/>
      <c r="Z52" s="40"/>
      <c r="AA52" s="40"/>
      <c r="AB52" s="40"/>
    </row>
    <row r="53" spans="1:28" s="42" customFormat="1" ht="15" customHeight="1" thickTop="1" thickBot="1">
      <c r="A53" s="246"/>
      <c r="C53" s="61"/>
      <c r="F53" s="946"/>
      <c r="G53" s="946"/>
      <c r="I53" s="43" t="s">
        <v>340</v>
      </c>
      <c r="J53" s="42" t="s">
        <v>317</v>
      </c>
      <c r="N53" s="228"/>
      <c r="O53" s="61"/>
      <c r="R53" s="66" t="s">
        <v>341</v>
      </c>
      <c r="V53" s="43" t="s">
        <v>342</v>
      </c>
      <c r="X53" s="573"/>
      <c r="Y53" s="40"/>
      <c r="Z53" s="40"/>
      <c r="AA53" s="40"/>
      <c r="AB53" s="40"/>
    </row>
    <row r="54" spans="1:28" s="42" customFormat="1" ht="15" customHeight="1" thickTop="1">
      <c r="A54" s="246"/>
      <c r="C54" s="61"/>
      <c r="F54" s="946"/>
      <c r="G54" s="946"/>
      <c r="I54" s="43" t="s">
        <v>343</v>
      </c>
      <c r="J54" s="42" t="s">
        <v>317</v>
      </c>
      <c r="N54" s="228"/>
      <c r="O54" s="61"/>
      <c r="R54" s="61"/>
      <c r="V54" s="43" t="s">
        <v>344</v>
      </c>
      <c r="X54" s="573"/>
      <c r="Y54" s="40"/>
      <c r="Z54" s="40"/>
      <c r="AA54" s="40"/>
      <c r="AB54" s="40"/>
    </row>
    <row r="55" spans="1:28" s="42" customFormat="1" ht="15" customHeight="1">
      <c r="A55" s="246"/>
      <c r="C55" s="61"/>
      <c r="F55" s="573"/>
      <c r="G55" s="573"/>
      <c r="I55" s="43" t="s">
        <v>345</v>
      </c>
      <c r="J55" s="42" t="s">
        <v>304</v>
      </c>
      <c r="N55" s="228"/>
      <c r="O55" s="61"/>
      <c r="R55" s="61"/>
      <c r="V55" s="43" t="s">
        <v>346</v>
      </c>
      <c r="X55" s="573"/>
      <c r="Y55" s="40"/>
      <c r="Z55" s="40"/>
      <c r="AA55" s="40"/>
      <c r="AB55" s="40"/>
    </row>
    <row r="56" spans="1:28" s="42" customFormat="1" ht="15" customHeight="1">
      <c r="A56" s="246"/>
      <c r="C56" s="61"/>
      <c r="I56" s="43" t="s">
        <v>347</v>
      </c>
      <c r="J56" s="42" t="s">
        <v>304</v>
      </c>
      <c r="N56" s="228"/>
      <c r="O56" s="61"/>
      <c r="R56" s="61"/>
      <c r="V56" s="43" t="s">
        <v>348</v>
      </c>
      <c r="X56" s="573"/>
      <c r="Y56" s="40"/>
      <c r="Z56" s="40"/>
      <c r="AA56" s="40"/>
      <c r="AB56" s="40"/>
    </row>
    <row r="57" spans="1:28" s="42" customFormat="1" ht="15" customHeight="1">
      <c r="A57" s="246"/>
      <c r="C57" s="61"/>
      <c r="I57" s="43" t="s">
        <v>349</v>
      </c>
      <c r="J57" s="42" t="s">
        <v>317</v>
      </c>
      <c r="N57" s="228"/>
      <c r="O57" s="61"/>
      <c r="R57" s="61"/>
      <c r="V57" s="43" t="s">
        <v>350</v>
      </c>
      <c r="X57" s="573"/>
      <c r="Y57" s="40"/>
      <c r="Z57" s="40"/>
      <c r="AA57" s="40"/>
      <c r="AB57" s="40"/>
    </row>
    <row r="58" spans="1:28" s="42" customFormat="1" ht="15" customHeight="1">
      <c r="A58" s="246"/>
      <c r="C58" s="61"/>
      <c r="I58" s="43" t="s">
        <v>351</v>
      </c>
      <c r="J58" s="42" t="s">
        <v>317</v>
      </c>
      <c r="N58" s="228"/>
      <c r="O58" s="61"/>
      <c r="R58" s="61"/>
      <c r="V58" s="43" t="s">
        <v>352</v>
      </c>
      <c r="X58" s="573"/>
      <c r="Y58" s="40"/>
      <c r="Z58" s="40"/>
      <c r="AA58" s="40"/>
      <c r="AB58" s="40"/>
    </row>
    <row r="59" spans="1:28" s="42" customFormat="1" ht="15" customHeight="1">
      <c r="A59" s="246"/>
      <c r="C59" s="61"/>
      <c r="I59" s="43" t="s">
        <v>353</v>
      </c>
      <c r="J59" s="42" t="s">
        <v>317</v>
      </c>
      <c r="N59" s="228"/>
      <c r="O59" s="61"/>
      <c r="R59" s="61"/>
      <c r="V59" s="43" t="s">
        <v>354</v>
      </c>
      <c r="X59" s="573"/>
      <c r="Y59" s="40"/>
      <c r="Z59" s="40"/>
      <c r="AA59" s="40"/>
      <c r="AB59" s="40"/>
    </row>
    <row r="60" spans="1:28" s="42" customFormat="1" ht="15" customHeight="1">
      <c r="A60" s="246"/>
      <c r="C60" s="61"/>
      <c r="I60" s="43" t="s">
        <v>355</v>
      </c>
      <c r="J60" s="42" t="s">
        <v>317</v>
      </c>
      <c r="N60" s="228"/>
      <c r="O60" s="61"/>
      <c r="R60" s="61"/>
      <c r="V60" s="43" t="s">
        <v>356</v>
      </c>
      <c r="X60" s="573"/>
      <c r="Y60" s="40"/>
      <c r="Z60" s="40"/>
      <c r="AA60" s="40"/>
      <c r="AB60" s="40"/>
    </row>
    <row r="61" spans="1:28" s="42" customFormat="1" ht="15" customHeight="1">
      <c r="A61" s="246"/>
      <c r="C61" s="61"/>
      <c r="I61" s="43" t="s">
        <v>357</v>
      </c>
      <c r="J61" s="42" t="s">
        <v>317</v>
      </c>
      <c r="N61" s="228"/>
      <c r="O61" s="61"/>
      <c r="R61" s="61"/>
      <c r="V61" s="43" t="s">
        <v>358</v>
      </c>
      <c r="X61" s="573"/>
      <c r="Y61" s="40"/>
      <c r="Z61" s="40"/>
      <c r="AA61" s="40"/>
      <c r="AB61" s="40"/>
    </row>
    <row r="62" spans="1:28" s="42" customFormat="1" ht="15" customHeight="1">
      <c r="A62" s="246"/>
      <c r="C62" s="61"/>
      <c r="I62" s="43" t="s">
        <v>359</v>
      </c>
      <c r="J62" s="42" t="s">
        <v>317</v>
      </c>
      <c r="N62" s="228"/>
      <c r="O62" s="61"/>
      <c r="R62" s="61"/>
      <c r="V62" s="43" t="s">
        <v>360</v>
      </c>
      <c r="X62" s="573"/>
      <c r="Y62" s="40"/>
      <c r="Z62" s="40"/>
      <c r="AA62" s="40"/>
      <c r="AB62" s="40"/>
    </row>
    <row r="63" spans="1:28" s="42" customFormat="1" ht="15" customHeight="1" thickBot="1">
      <c r="A63" s="246"/>
      <c r="C63" s="61"/>
      <c r="I63" s="43" t="s">
        <v>361</v>
      </c>
      <c r="J63" s="42" t="s">
        <v>317</v>
      </c>
      <c r="N63" s="228"/>
      <c r="O63" s="61"/>
      <c r="R63" s="61"/>
      <c r="V63" s="48" t="s">
        <v>362</v>
      </c>
      <c r="W63" s="62"/>
      <c r="X63" s="573"/>
      <c r="Y63" s="40"/>
      <c r="Z63" s="40"/>
      <c r="AA63" s="40"/>
      <c r="AB63" s="40"/>
    </row>
    <row r="64" spans="1:28" ht="15" customHeight="1" thickTop="1" thickBot="1">
      <c r="I64" s="48" t="s">
        <v>363</v>
      </c>
      <c r="J64" s="80"/>
    </row>
    <row r="65" spans="3:23" ht="15" customHeight="1" thickTop="1"/>
    <row r="66" spans="3:23" ht="15" customHeight="1"/>
    <row r="67" spans="3:23" ht="15" customHeight="1"/>
    <row r="68" spans="3:23" ht="21">
      <c r="C68" s="943" t="s">
        <v>364</v>
      </c>
      <c r="D68" s="943"/>
      <c r="E68" s="943"/>
      <c r="F68" s="943"/>
      <c r="G68" s="943"/>
      <c r="H68" s="943"/>
      <c r="I68" s="943"/>
      <c r="J68" s="943"/>
      <c r="K68" s="943"/>
      <c r="L68" s="943"/>
      <c r="M68" s="943"/>
      <c r="N68" s="943"/>
      <c r="O68" s="943"/>
      <c r="P68" s="943"/>
      <c r="R68" s="944" t="s">
        <v>365</v>
      </c>
      <c r="S68" s="944"/>
      <c r="T68" s="944"/>
      <c r="U68" s="944"/>
      <c r="V68" s="944"/>
      <c r="W68" s="944"/>
    </row>
  </sheetData>
  <autoFilter ref="A5:AB5" xr:uid="{3694B7D5-0074-4DD4-A162-6C822613B047}"/>
  <mergeCells count="14">
    <mergeCell ref="Y3:AB3"/>
    <mergeCell ref="A3:A5"/>
    <mergeCell ref="C3:G3"/>
    <mergeCell ref="I3:P3"/>
    <mergeCell ref="R3:W3"/>
    <mergeCell ref="C4:P4"/>
    <mergeCell ref="R4:W4"/>
    <mergeCell ref="I1:J1"/>
    <mergeCell ref="C43:V43"/>
    <mergeCell ref="C68:P68"/>
    <mergeCell ref="R68:W68"/>
    <mergeCell ref="F49:G51"/>
    <mergeCell ref="F52:G54"/>
    <mergeCell ref="O49:O5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1A05-646B-450A-98D5-AEAF154E2813}">
  <sheetPr codeName="Planilha10"/>
  <dimension ref="A1:AK78"/>
  <sheetViews>
    <sheetView zoomScale="40" zoomScaleNormal="40" workbookViewId="0">
      <selection activeCell="D5" sqref="D5"/>
    </sheetView>
  </sheetViews>
  <sheetFormatPr defaultColWidth="19.5" defaultRowHeight="18"/>
  <cols>
    <col min="1" max="1" width="29.5" style="39" bestFit="1" customWidth="1"/>
    <col min="2" max="2" width="3" style="39" customWidth="1"/>
    <col min="3" max="3" width="22" style="54" bestFit="1" customWidth="1"/>
    <col min="4" max="4" width="22" style="39" bestFit="1" customWidth="1"/>
    <col min="5" max="5" width="19.5" style="39" customWidth="1"/>
    <col min="6" max="6" width="4.5" style="39" customWidth="1"/>
    <col min="7" max="7" width="27.5" style="39" customWidth="1"/>
    <col min="8" max="8" width="24.5" style="39" bestFit="1" customWidth="1"/>
    <col min="9" max="9" width="19.5" style="39" customWidth="1"/>
    <col min="10" max="10" width="2.5" style="39" customWidth="1"/>
    <col min="11" max="11" width="25.5" style="39" bestFit="1" customWidth="1"/>
    <col min="12" max="12" width="17.5" style="39" bestFit="1" customWidth="1"/>
    <col min="13" max="13" width="19.5" style="39" customWidth="1"/>
    <col min="14" max="14" width="1.5" style="39" customWidth="1"/>
    <col min="15" max="16" width="22.5" style="39" bestFit="1" customWidth="1"/>
    <col min="17" max="17" width="19.5" style="39" customWidth="1"/>
    <col min="18" max="18" width="1.5" style="39" customWidth="1"/>
    <col min="19" max="19" width="21.5" style="54" customWidth="1"/>
    <col min="20" max="20" width="17.5" style="39" bestFit="1" customWidth="1"/>
    <col min="21" max="21" width="19.5" style="39" customWidth="1"/>
    <col min="22" max="22" width="1.5" style="39" customWidth="1"/>
    <col min="23" max="23" width="19.5" style="54" bestFit="1" customWidth="1"/>
    <col min="24" max="24" width="17.5" style="39" bestFit="1" customWidth="1"/>
    <col min="25" max="25" width="19.5" style="39" bestFit="1" customWidth="1"/>
    <col min="26" max="26" width="17.5" style="39" bestFit="1" customWidth="1"/>
    <col min="27" max="27" width="20.5" style="39" bestFit="1" customWidth="1"/>
    <col min="28" max="28" width="17.5" style="39" bestFit="1" customWidth="1"/>
    <col min="29" max="29" width="19.5" style="39" customWidth="1"/>
    <col min="30" max="30" width="3.5" style="39" customWidth="1"/>
    <col min="31" max="31" width="2.5" style="39" customWidth="1"/>
    <col min="32" max="32" width="36.5" style="39" customWidth="1"/>
    <col min="33" max="33" width="2.5" style="39" customWidth="1"/>
    <col min="34" max="34" width="22" style="40" bestFit="1" customWidth="1"/>
    <col min="35" max="35" width="12.5" style="40" bestFit="1" customWidth="1"/>
    <col min="36" max="36" width="19.5" style="40" bestFit="1" customWidth="1"/>
    <col min="37" max="37" width="24.5" style="40" bestFit="1" customWidth="1"/>
    <col min="38" max="38" width="53.5" style="39" bestFit="1" customWidth="1"/>
    <col min="39" max="16384" width="19.5" style="39"/>
  </cols>
  <sheetData>
    <row r="1" spans="1:37" ht="46.5">
      <c r="D1" s="194" t="s">
        <v>165</v>
      </c>
      <c r="E1" s="194"/>
      <c r="F1" s="195"/>
      <c r="G1" s="196" t="s">
        <v>166</v>
      </c>
      <c r="H1" s="197" t="s">
        <v>167</v>
      </c>
      <c r="I1" s="197"/>
      <c r="J1" s="195"/>
      <c r="K1" s="198" t="s">
        <v>168</v>
      </c>
    </row>
    <row r="2" spans="1:37" ht="18.75" thickBot="1"/>
    <row r="3" spans="1:37" s="40" customFormat="1" ht="27.75" customHeight="1" thickTop="1" thickBot="1">
      <c r="A3" s="961" t="s">
        <v>186</v>
      </c>
      <c r="C3" s="964" t="s">
        <v>278</v>
      </c>
      <c r="D3" s="965"/>
      <c r="E3" s="965"/>
      <c r="F3" s="965"/>
      <c r="G3" s="965"/>
      <c r="H3" s="965"/>
      <c r="I3" s="966"/>
      <c r="J3" s="44"/>
      <c r="K3" s="964" t="s">
        <v>279</v>
      </c>
      <c r="L3" s="965"/>
      <c r="M3" s="965"/>
      <c r="N3" s="965"/>
      <c r="O3" s="965"/>
      <c r="P3" s="965"/>
      <c r="Q3" s="965"/>
      <c r="R3" s="965"/>
      <c r="S3" s="965"/>
      <c r="T3" s="965"/>
      <c r="U3" s="966"/>
      <c r="V3" s="44"/>
      <c r="W3" s="964" t="s">
        <v>280</v>
      </c>
      <c r="X3" s="965"/>
      <c r="Y3" s="965"/>
      <c r="Z3" s="965"/>
      <c r="AA3" s="965"/>
      <c r="AB3" s="965"/>
      <c r="AC3" s="966"/>
      <c r="AD3" s="120"/>
      <c r="AE3" s="45"/>
      <c r="AF3" s="49" t="s">
        <v>366</v>
      </c>
      <c r="AH3" s="949" t="s">
        <v>281</v>
      </c>
      <c r="AI3" s="949"/>
      <c r="AJ3" s="949"/>
      <c r="AK3" s="949"/>
    </row>
    <row r="4" spans="1:37" ht="19.5" thickTop="1" thickBot="1">
      <c r="A4" s="962"/>
      <c r="C4" s="324"/>
      <c r="D4" s="325"/>
      <c r="E4" s="325"/>
      <c r="F4" s="325"/>
      <c r="G4" s="325"/>
      <c r="H4" s="325"/>
      <c r="I4" s="325"/>
      <c r="J4" s="326"/>
      <c r="K4" s="325"/>
      <c r="L4" s="325"/>
      <c r="M4" s="325"/>
      <c r="N4" s="325"/>
      <c r="O4" s="325"/>
      <c r="P4" s="325"/>
      <c r="Q4" s="325"/>
      <c r="R4" s="325"/>
      <c r="S4" s="325"/>
      <c r="T4" s="327"/>
      <c r="U4" s="315"/>
      <c r="V4" s="51"/>
      <c r="W4" s="958"/>
      <c r="X4" s="959"/>
      <c r="Y4" s="959"/>
      <c r="Z4" s="959"/>
      <c r="AA4" s="959"/>
      <c r="AB4" s="960"/>
      <c r="AC4" s="315"/>
      <c r="AD4" s="41"/>
      <c r="AE4" s="41"/>
      <c r="AF4" s="41"/>
      <c r="AH4" s="199"/>
      <c r="AK4" s="200"/>
    </row>
    <row r="5" spans="1:37" ht="55.5" customHeight="1" thickTop="1" thickBot="1">
      <c r="A5" s="963"/>
      <c r="C5" s="55" t="s">
        <v>282</v>
      </c>
      <c r="D5" s="52" t="s">
        <v>179</v>
      </c>
      <c r="E5" s="52" t="s">
        <v>367</v>
      </c>
      <c r="F5" s="53"/>
      <c r="G5" s="52" t="s">
        <v>283</v>
      </c>
      <c r="H5" s="52" t="s">
        <v>179</v>
      </c>
      <c r="I5" s="52" t="s">
        <v>367</v>
      </c>
      <c r="J5" s="53"/>
      <c r="K5" s="52" t="s">
        <v>284</v>
      </c>
      <c r="L5" s="52" t="s">
        <v>179</v>
      </c>
      <c r="M5" s="52" t="s">
        <v>367</v>
      </c>
      <c r="N5" s="53"/>
      <c r="O5" s="52" t="s">
        <v>285</v>
      </c>
      <c r="P5" s="52" t="s">
        <v>179</v>
      </c>
      <c r="Q5" s="52" t="s">
        <v>367</v>
      </c>
      <c r="R5" s="53"/>
      <c r="S5" s="55" t="s">
        <v>286</v>
      </c>
      <c r="T5" s="52" t="s">
        <v>179</v>
      </c>
      <c r="U5" s="52" t="s">
        <v>367</v>
      </c>
      <c r="V5" s="53"/>
      <c r="W5" s="55" t="s">
        <v>287</v>
      </c>
      <c r="X5" s="52" t="s">
        <v>179</v>
      </c>
      <c r="Y5" s="52" t="s">
        <v>288</v>
      </c>
      <c r="Z5" s="52" t="s">
        <v>179</v>
      </c>
      <c r="AA5" s="52" t="s">
        <v>289</v>
      </c>
      <c r="AB5" s="52" t="s">
        <v>179</v>
      </c>
      <c r="AC5" s="52" t="s">
        <v>367</v>
      </c>
      <c r="AD5" s="42"/>
      <c r="AE5" s="57"/>
      <c r="AF5" s="52" t="s">
        <v>368</v>
      </c>
      <c r="AH5" s="75" t="s">
        <v>290</v>
      </c>
      <c r="AI5" s="75" t="s">
        <v>187</v>
      </c>
      <c r="AJ5" s="75" t="s">
        <v>291</v>
      </c>
      <c r="AK5" s="75" t="s">
        <v>292</v>
      </c>
    </row>
    <row r="6" spans="1:37" ht="18.75" customHeight="1" thickTop="1">
      <c r="A6" s="68">
        <v>46083</v>
      </c>
      <c r="B6" s="60"/>
      <c r="C6" s="159"/>
      <c r="D6" s="160"/>
      <c r="E6" s="160"/>
      <c r="F6" s="161"/>
      <c r="G6" s="160"/>
      <c r="H6" s="160"/>
      <c r="I6" s="160"/>
      <c r="J6" s="161"/>
      <c r="K6" s="160"/>
      <c r="L6" s="160"/>
      <c r="M6" s="160"/>
      <c r="N6" s="161"/>
      <c r="O6" s="160"/>
      <c r="P6" s="160"/>
      <c r="Q6" s="160"/>
      <c r="R6" s="161"/>
      <c r="S6" s="159"/>
      <c r="T6" s="160"/>
      <c r="U6" s="160"/>
      <c r="V6" s="161"/>
      <c r="W6" s="154"/>
      <c r="X6" s="154"/>
      <c r="Y6" s="154"/>
      <c r="Z6" s="154"/>
      <c r="AA6" s="150" t="s">
        <v>369</v>
      </c>
      <c r="AB6" s="150" t="s">
        <v>369</v>
      </c>
      <c r="AC6" s="160"/>
      <c r="AD6" s="119"/>
      <c r="AE6" s="58"/>
      <c r="AF6" s="41"/>
      <c r="AH6" s="201" t="s">
        <v>293</v>
      </c>
      <c r="AI6" s="202">
        <v>600</v>
      </c>
      <c r="AJ6" s="203">
        <v>0.3</v>
      </c>
      <c r="AK6" s="201" t="s">
        <v>370</v>
      </c>
    </row>
    <row r="7" spans="1:37" ht="18.75" customHeight="1">
      <c r="A7" s="70">
        <v>46084</v>
      </c>
      <c r="B7" s="60"/>
      <c r="C7" s="151">
        <v>85013271</v>
      </c>
      <c r="D7" s="152">
        <v>69</v>
      </c>
      <c r="E7" s="152"/>
      <c r="F7" s="153"/>
      <c r="G7" s="155"/>
      <c r="H7" s="155"/>
      <c r="I7" s="155"/>
      <c r="J7" s="153"/>
      <c r="K7" s="155"/>
      <c r="L7" s="155"/>
      <c r="M7" s="155"/>
      <c r="N7" s="153"/>
      <c r="O7" s="150" t="s">
        <v>63</v>
      </c>
      <c r="P7" s="150" t="s">
        <v>63</v>
      </c>
      <c r="Q7" s="150"/>
      <c r="R7" s="153"/>
      <c r="S7" s="154"/>
      <c r="T7" s="155"/>
      <c r="U7" s="155"/>
      <c r="V7" s="153"/>
      <c r="W7" s="154"/>
      <c r="X7" s="154"/>
      <c r="Y7" s="155"/>
      <c r="Z7" s="155"/>
      <c r="AA7" s="151">
        <v>28639223</v>
      </c>
      <c r="AB7" s="152">
        <v>501</v>
      </c>
      <c r="AC7" s="155"/>
      <c r="AD7" s="121"/>
      <c r="AE7" s="58"/>
      <c r="AF7" s="56"/>
      <c r="AH7" s="201" t="s">
        <v>301</v>
      </c>
      <c r="AI7" s="202">
        <v>400</v>
      </c>
      <c r="AJ7" s="203">
        <v>0.3</v>
      </c>
      <c r="AK7" s="201" t="s">
        <v>371</v>
      </c>
    </row>
    <row r="8" spans="1:37" ht="18.75" customHeight="1">
      <c r="A8" s="70">
        <v>46085</v>
      </c>
      <c r="B8" s="60"/>
      <c r="C8" s="151">
        <v>85013271</v>
      </c>
      <c r="D8" s="152">
        <v>71</v>
      </c>
      <c r="E8" s="152"/>
      <c r="F8" s="153"/>
      <c r="G8" s="155"/>
      <c r="H8" s="155"/>
      <c r="I8" s="155"/>
      <c r="J8" s="153"/>
      <c r="K8" s="155"/>
      <c r="L8" s="155"/>
      <c r="M8" s="155"/>
      <c r="N8" s="153"/>
      <c r="O8" s="150" t="s">
        <v>63</v>
      </c>
      <c r="P8" s="150" t="s">
        <v>63</v>
      </c>
      <c r="Q8" s="150"/>
      <c r="R8" s="153"/>
      <c r="S8" s="154"/>
      <c r="T8" s="155"/>
      <c r="U8" s="155"/>
      <c r="V8" s="153"/>
      <c r="W8" s="154"/>
      <c r="X8" s="154"/>
      <c r="Y8" s="154"/>
      <c r="Z8" s="154"/>
      <c r="AA8" s="150" t="s">
        <v>369</v>
      </c>
      <c r="AB8" s="150" t="s">
        <v>369</v>
      </c>
      <c r="AC8" s="155"/>
      <c r="AD8" s="47"/>
      <c r="AE8" s="58"/>
      <c r="AF8" s="56"/>
      <c r="AH8" s="204" t="s">
        <v>187</v>
      </c>
      <c r="AI8" s="205">
        <f>SUM(AI6:AI7)</f>
        <v>1000</v>
      </c>
      <c r="AJ8" s="206">
        <f>SUM(AJ6:AJ7)</f>
        <v>0.6</v>
      </c>
      <c r="AK8" s="204"/>
    </row>
    <row r="9" spans="1:37" ht="18.75" customHeight="1">
      <c r="A9" s="70">
        <v>46086</v>
      </c>
      <c r="B9" s="60"/>
      <c r="C9" s="151">
        <v>85013271</v>
      </c>
      <c r="D9" s="152">
        <v>77</v>
      </c>
      <c r="E9" s="152"/>
      <c r="F9" s="153"/>
      <c r="G9" s="155"/>
      <c r="H9" s="155"/>
      <c r="I9" s="155"/>
      <c r="J9" s="153"/>
      <c r="K9" s="155"/>
      <c r="L9" s="155"/>
      <c r="M9" s="155"/>
      <c r="N9" s="153"/>
      <c r="O9" s="150" t="s">
        <v>63</v>
      </c>
      <c r="P9" s="150" t="s">
        <v>63</v>
      </c>
      <c r="Q9" s="150"/>
      <c r="R9" s="153"/>
      <c r="S9" s="154"/>
      <c r="T9" s="155"/>
      <c r="U9" s="155"/>
      <c r="V9" s="153"/>
      <c r="W9" s="154"/>
      <c r="X9" s="154"/>
      <c r="Y9" s="155"/>
      <c r="Z9" s="155"/>
      <c r="AA9" s="151">
        <v>25328253</v>
      </c>
      <c r="AB9" s="152">
        <v>599</v>
      </c>
      <c r="AC9" s="155"/>
      <c r="AD9" s="47"/>
      <c r="AE9" s="58"/>
      <c r="AF9" s="56"/>
      <c r="AH9" s="207"/>
      <c r="AI9" s="208"/>
      <c r="AJ9" s="209"/>
      <c r="AK9" s="210"/>
    </row>
    <row r="10" spans="1:37" ht="18.75" customHeight="1">
      <c r="A10" s="70">
        <v>46087</v>
      </c>
      <c r="B10" s="60"/>
      <c r="C10" s="151">
        <v>85013271</v>
      </c>
      <c r="D10" s="152">
        <v>77</v>
      </c>
      <c r="E10" s="152"/>
      <c r="F10" s="153"/>
      <c r="G10" s="155"/>
      <c r="H10" s="155"/>
      <c r="I10" s="155"/>
      <c r="J10" s="153"/>
      <c r="K10" s="155"/>
      <c r="L10" s="155"/>
      <c r="M10" s="155"/>
      <c r="N10" s="153"/>
      <c r="O10" s="150" t="s">
        <v>63</v>
      </c>
      <c r="P10" s="150" t="s">
        <v>63</v>
      </c>
      <c r="Q10" s="150"/>
      <c r="R10" s="153"/>
      <c r="S10" s="154"/>
      <c r="T10" s="155"/>
      <c r="U10" s="155"/>
      <c r="V10" s="153"/>
      <c r="W10" s="154"/>
      <c r="X10" s="154"/>
      <c r="Y10" s="154"/>
      <c r="Z10" s="154"/>
      <c r="AA10" s="150" t="s">
        <v>369</v>
      </c>
      <c r="AB10" s="150" t="s">
        <v>369</v>
      </c>
      <c r="AC10" s="155"/>
      <c r="AD10" s="47"/>
      <c r="AE10" s="58"/>
      <c r="AF10" s="56"/>
      <c r="AH10" s="75" t="s">
        <v>289</v>
      </c>
      <c r="AI10" s="75" t="s">
        <v>187</v>
      </c>
      <c r="AJ10" s="76" t="s">
        <v>372</v>
      </c>
      <c r="AK10" s="75" t="s">
        <v>292</v>
      </c>
    </row>
    <row r="11" spans="1:37" ht="18.75" customHeight="1">
      <c r="A11" s="71">
        <v>46088</v>
      </c>
      <c r="B11" s="126"/>
      <c r="C11" s="158"/>
      <c r="D11" s="153"/>
      <c r="E11" s="153"/>
      <c r="F11" s="153"/>
      <c r="G11" s="162"/>
      <c r="H11" s="162"/>
      <c r="I11" s="162"/>
      <c r="J11" s="153"/>
      <c r="K11" s="162"/>
      <c r="L11" s="162"/>
      <c r="M11" s="162"/>
      <c r="N11" s="153"/>
      <c r="O11" s="163"/>
      <c r="P11" s="163"/>
      <c r="Q11" s="163"/>
      <c r="R11" s="153"/>
      <c r="S11" s="163"/>
      <c r="T11" s="162"/>
      <c r="U11" s="162"/>
      <c r="V11" s="153"/>
      <c r="W11" s="163"/>
      <c r="X11" s="162"/>
      <c r="Y11" s="162"/>
      <c r="Z11" s="162"/>
      <c r="AA11" s="153"/>
      <c r="AB11" s="153"/>
      <c r="AC11" s="162"/>
      <c r="AD11" s="121"/>
      <c r="AE11" s="58"/>
      <c r="AF11" s="56"/>
      <c r="AH11" s="201" t="s">
        <v>373</v>
      </c>
      <c r="AI11" s="202">
        <v>0</v>
      </c>
      <c r="AJ11" s="203">
        <v>0</v>
      </c>
      <c r="AK11" s="201" t="s">
        <v>374</v>
      </c>
    </row>
    <row r="12" spans="1:37" ht="18.75" customHeight="1">
      <c r="A12" s="71">
        <v>46089</v>
      </c>
      <c r="B12" s="126"/>
      <c r="C12" s="158"/>
      <c r="D12" s="153"/>
      <c r="E12" s="153"/>
      <c r="F12" s="153"/>
      <c r="G12" s="162"/>
      <c r="H12" s="162"/>
      <c r="I12" s="162"/>
      <c r="J12" s="153"/>
      <c r="K12" s="162"/>
      <c r="L12" s="162"/>
      <c r="M12" s="162"/>
      <c r="N12" s="153"/>
      <c r="O12" s="163"/>
      <c r="P12" s="163"/>
      <c r="Q12" s="163"/>
      <c r="R12" s="153"/>
      <c r="S12" s="163"/>
      <c r="T12" s="162"/>
      <c r="U12" s="162"/>
      <c r="V12" s="153"/>
      <c r="W12" s="162"/>
      <c r="X12" s="162"/>
      <c r="Y12" s="162"/>
      <c r="Z12" s="162"/>
      <c r="AA12" s="153"/>
      <c r="AB12" s="153"/>
      <c r="AC12" s="162"/>
      <c r="AD12" s="121"/>
      <c r="AE12" s="58"/>
      <c r="AF12" s="56"/>
      <c r="AH12" s="201" t="s">
        <v>375</v>
      </c>
      <c r="AI12" s="202">
        <v>172</v>
      </c>
      <c r="AJ12" s="203">
        <v>7.4999999999999997E-2</v>
      </c>
      <c r="AK12" s="201" t="s">
        <v>376</v>
      </c>
    </row>
    <row r="13" spans="1:37" ht="18.75" customHeight="1">
      <c r="A13" s="70">
        <v>46090</v>
      </c>
      <c r="B13" s="60"/>
      <c r="C13" s="150" t="s">
        <v>377</v>
      </c>
      <c r="D13" s="150" t="s">
        <v>377</v>
      </c>
      <c r="E13" s="150"/>
      <c r="F13" s="153"/>
      <c r="G13" s="155"/>
      <c r="H13" s="155"/>
      <c r="I13" s="155"/>
      <c r="J13" s="153"/>
      <c r="K13" s="155"/>
      <c r="L13" s="155"/>
      <c r="M13" s="155"/>
      <c r="N13" s="153"/>
      <c r="O13" s="150" t="s">
        <v>63</v>
      </c>
      <c r="P13" s="150" t="s">
        <v>63</v>
      </c>
      <c r="Q13" s="150"/>
      <c r="R13" s="153"/>
      <c r="S13" s="154"/>
      <c r="T13" s="155"/>
      <c r="U13" s="155"/>
      <c r="V13" s="153"/>
      <c r="W13" s="154"/>
      <c r="X13" s="154"/>
      <c r="Y13" s="154"/>
      <c r="Z13" s="154"/>
      <c r="AA13" s="154">
        <v>25328253</v>
      </c>
      <c r="AB13" s="155">
        <v>600</v>
      </c>
      <c r="AC13" s="155"/>
      <c r="AD13" s="47"/>
      <c r="AE13" s="58"/>
      <c r="AF13" s="56"/>
      <c r="AH13" s="201" t="s">
        <v>303</v>
      </c>
      <c r="AI13" s="202">
        <v>1128</v>
      </c>
      <c r="AJ13" s="203">
        <v>0.8</v>
      </c>
      <c r="AK13" s="201" t="s">
        <v>374</v>
      </c>
    </row>
    <row r="14" spans="1:37" ht="18.75" customHeight="1">
      <c r="A14" s="70">
        <v>46091</v>
      </c>
      <c r="B14" s="60"/>
      <c r="C14" s="150" t="s">
        <v>377</v>
      </c>
      <c r="D14" s="150" t="s">
        <v>377</v>
      </c>
      <c r="E14" s="150"/>
      <c r="F14" s="153"/>
      <c r="G14" s="155"/>
      <c r="H14" s="155"/>
      <c r="I14" s="155"/>
      <c r="J14" s="153"/>
      <c r="K14" s="155"/>
      <c r="L14" s="155"/>
      <c r="M14" s="155"/>
      <c r="N14" s="153"/>
      <c r="O14" s="150" t="s">
        <v>378</v>
      </c>
      <c r="P14" s="150" t="s">
        <v>378</v>
      </c>
      <c r="Q14" s="150"/>
      <c r="R14" s="153"/>
      <c r="S14" s="154"/>
      <c r="T14" s="155"/>
      <c r="U14" s="155"/>
      <c r="V14" s="153"/>
      <c r="W14" s="154"/>
      <c r="X14" s="155"/>
      <c r="Y14" s="155"/>
      <c r="Z14" s="155"/>
      <c r="AA14" s="154">
        <v>25356711</v>
      </c>
      <c r="AB14" s="155">
        <v>600</v>
      </c>
      <c r="AC14" s="155"/>
      <c r="AD14" s="47"/>
      <c r="AE14" s="58"/>
      <c r="AF14" s="56"/>
      <c r="AH14" s="204" t="s">
        <v>187</v>
      </c>
      <c r="AI14" s="205">
        <f>SUM(AI11:AI13)</f>
        <v>1300</v>
      </c>
      <c r="AJ14" s="206">
        <f>SUM(AJ11:AJ13)</f>
        <v>0.875</v>
      </c>
      <c r="AK14" s="204"/>
    </row>
    <row r="15" spans="1:37" ht="18.75" customHeight="1">
      <c r="A15" s="70">
        <v>46092</v>
      </c>
      <c r="B15" s="60"/>
      <c r="C15" s="150" t="s">
        <v>379</v>
      </c>
      <c r="D15" s="150" t="s">
        <v>379</v>
      </c>
      <c r="E15" s="150"/>
      <c r="F15" s="153"/>
      <c r="G15" s="155"/>
      <c r="H15" s="155"/>
      <c r="I15" s="155"/>
      <c r="J15" s="153"/>
      <c r="K15" s="155"/>
      <c r="L15" s="155"/>
      <c r="M15" s="155"/>
      <c r="N15" s="153"/>
      <c r="O15" s="150" t="s">
        <v>378</v>
      </c>
      <c r="P15" s="150" t="s">
        <v>378</v>
      </c>
      <c r="Q15" s="150"/>
      <c r="R15" s="153"/>
      <c r="S15" s="154"/>
      <c r="T15" s="155"/>
      <c r="U15" s="155"/>
      <c r="V15" s="153"/>
      <c r="W15" s="154"/>
      <c r="X15" s="155"/>
      <c r="Y15" s="155"/>
      <c r="Z15" s="155"/>
      <c r="AA15" s="151">
        <v>25356711</v>
      </c>
      <c r="AB15" s="152">
        <v>599</v>
      </c>
      <c r="AC15" s="155"/>
      <c r="AD15" s="47"/>
      <c r="AE15" s="58"/>
      <c r="AF15" s="56"/>
      <c r="AH15" s="207"/>
      <c r="AI15" s="208"/>
      <c r="AJ15" s="209"/>
      <c r="AK15" s="210"/>
    </row>
    <row r="16" spans="1:37" ht="18.75" customHeight="1">
      <c r="A16" s="70">
        <v>46093</v>
      </c>
      <c r="B16" s="60"/>
      <c r="C16" s="150" t="s">
        <v>380</v>
      </c>
      <c r="D16" s="150" t="s">
        <v>380</v>
      </c>
      <c r="E16" s="150"/>
      <c r="F16" s="153"/>
      <c r="G16" s="155"/>
      <c r="H16" s="155"/>
      <c r="I16" s="155"/>
      <c r="J16" s="153"/>
      <c r="K16" s="155"/>
      <c r="L16" s="155"/>
      <c r="M16" s="155"/>
      <c r="N16" s="153"/>
      <c r="O16" s="150" t="s">
        <v>378</v>
      </c>
      <c r="P16" s="150" t="s">
        <v>378</v>
      </c>
      <c r="Q16" s="150"/>
      <c r="R16" s="153"/>
      <c r="S16" s="154"/>
      <c r="T16" s="155"/>
      <c r="U16" s="155"/>
      <c r="V16" s="153"/>
      <c r="W16" s="154"/>
      <c r="X16" s="155"/>
      <c r="Y16" s="155"/>
      <c r="Z16" s="155"/>
      <c r="AA16" s="154">
        <v>25356711</v>
      </c>
      <c r="AB16" s="155">
        <v>600</v>
      </c>
      <c r="AC16" s="155"/>
      <c r="AD16" s="47"/>
      <c r="AE16" s="58"/>
      <c r="AF16" s="56"/>
      <c r="AH16" s="75" t="s">
        <v>280</v>
      </c>
      <c r="AI16" s="75" t="s">
        <v>187</v>
      </c>
      <c r="AJ16" s="76" t="s">
        <v>372</v>
      </c>
      <c r="AK16" s="75" t="s">
        <v>292</v>
      </c>
    </row>
    <row r="17" spans="1:37" ht="18.75" customHeight="1">
      <c r="A17" s="70">
        <v>46094</v>
      </c>
      <c r="B17" s="60"/>
      <c r="C17" s="150" t="s">
        <v>63</v>
      </c>
      <c r="D17" s="150" t="s">
        <v>63</v>
      </c>
      <c r="E17" s="150"/>
      <c r="F17" s="153"/>
      <c r="G17" s="155"/>
      <c r="H17" s="155"/>
      <c r="I17" s="155"/>
      <c r="J17" s="153"/>
      <c r="K17" s="155"/>
      <c r="L17" s="155"/>
      <c r="M17" s="155"/>
      <c r="N17" s="153"/>
      <c r="O17" s="150" t="s">
        <v>381</v>
      </c>
      <c r="P17" s="150" t="s">
        <v>381</v>
      </c>
      <c r="Q17" s="150"/>
      <c r="R17" s="153"/>
      <c r="S17" s="154"/>
      <c r="T17" s="155"/>
      <c r="U17" s="155"/>
      <c r="V17" s="153"/>
      <c r="W17" s="154"/>
      <c r="X17" s="155"/>
      <c r="Y17" s="155"/>
      <c r="Z17" s="155"/>
      <c r="AA17" s="154">
        <v>25356711</v>
      </c>
      <c r="AB17" s="155">
        <v>600</v>
      </c>
      <c r="AC17" s="155"/>
      <c r="AD17" s="47"/>
      <c r="AE17" s="58"/>
      <c r="AF17" s="56"/>
      <c r="AH17" s="201" t="s">
        <v>287</v>
      </c>
      <c r="AI17" s="202">
        <v>456</v>
      </c>
      <c r="AJ17" s="203">
        <v>0.08</v>
      </c>
      <c r="AK17" s="201"/>
    </row>
    <row r="18" spans="1:37" ht="18.75" customHeight="1">
      <c r="A18" s="71">
        <v>46095</v>
      </c>
      <c r="B18" s="126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8"/>
      <c r="T18" s="153"/>
      <c r="U18" s="153"/>
      <c r="V18" s="153"/>
      <c r="W18" s="158"/>
      <c r="X18" s="153"/>
      <c r="Y18" s="153"/>
      <c r="Z18" s="153"/>
      <c r="AA18" s="153"/>
      <c r="AB18" s="153"/>
      <c r="AC18" s="153"/>
      <c r="AD18" s="121"/>
      <c r="AE18" s="58"/>
      <c r="AF18" s="56"/>
      <c r="AH18" s="201" t="s">
        <v>288</v>
      </c>
      <c r="AI18" s="202">
        <v>0</v>
      </c>
      <c r="AJ18" s="203">
        <v>0</v>
      </c>
      <c r="AK18" s="201"/>
    </row>
    <row r="19" spans="1:37" ht="18.75" customHeight="1">
      <c r="A19" s="71">
        <v>46096</v>
      </c>
      <c r="B19" s="126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8"/>
      <c r="T19" s="153"/>
      <c r="U19" s="153"/>
      <c r="V19" s="153"/>
      <c r="W19" s="158"/>
      <c r="X19" s="153"/>
      <c r="Y19" s="153"/>
      <c r="Z19" s="153"/>
      <c r="AA19" s="158"/>
      <c r="AB19" s="153"/>
      <c r="AC19" s="153"/>
      <c r="AD19" s="121"/>
      <c r="AE19" s="58"/>
      <c r="AF19" s="56"/>
      <c r="AH19" s="201" t="s">
        <v>289</v>
      </c>
      <c r="AI19" s="202">
        <v>5899</v>
      </c>
      <c r="AJ19" s="203">
        <v>0.2</v>
      </c>
      <c r="AK19" s="201"/>
    </row>
    <row r="20" spans="1:37" ht="18.75" customHeight="1" thickBot="1">
      <c r="A20" s="70">
        <v>46097</v>
      </c>
      <c r="B20" s="60"/>
      <c r="C20" s="284" t="s">
        <v>380</v>
      </c>
      <c r="D20" s="284" t="s">
        <v>380</v>
      </c>
      <c r="E20" s="284"/>
      <c r="F20" s="153"/>
      <c r="G20" s="155"/>
      <c r="H20" s="155"/>
      <c r="I20" s="155"/>
      <c r="J20" s="153"/>
      <c r="K20" s="155"/>
      <c r="L20" s="155"/>
      <c r="M20" s="155"/>
      <c r="N20" s="153"/>
      <c r="O20" s="155" t="s">
        <v>307</v>
      </c>
      <c r="P20" s="155">
        <v>36</v>
      </c>
      <c r="Q20" s="155"/>
      <c r="R20" s="153"/>
      <c r="S20" s="154"/>
      <c r="T20" s="155"/>
      <c r="U20" s="155"/>
      <c r="V20" s="153"/>
      <c r="W20" s="154"/>
      <c r="X20" s="155"/>
      <c r="Y20" s="155"/>
      <c r="Z20" s="155"/>
      <c r="AA20" s="154">
        <v>25356711</v>
      </c>
      <c r="AB20" s="155">
        <v>600</v>
      </c>
      <c r="AC20" s="155"/>
      <c r="AD20" s="47"/>
      <c r="AE20" s="58"/>
      <c r="AF20" s="56"/>
      <c r="AH20" s="211" t="s">
        <v>187</v>
      </c>
      <c r="AI20" s="212">
        <f>SUM(AI17:AI19)</f>
        <v>6355</v>
      </c>
      <c r="AJ20" s="213">
        <f>SUM(AJ17:AJ19)</f>
        <v>0.28000000000000003</v>
      </c>
      <c r="AK20" s="211"/>
    </row>
    <row r="21" spans="1:37" ht="18.75" customHeight="1" thickTop="1">
      <c r="A21" s="70">
        <v>46098</v>
      </c>
      <c r="B21" s="60"/>
      <c r="C21" s="284" t="s">
        <v>380</v>
      </c>
      <c r="D21" s="284" t="s">
        <v>380</v>
      </c>
      <c r="E21" s="284"/>
      <c r="F21" s="153"/>
      <c r="G21" s="155" t="s">
        <v>382</v>
      </c>
      <c r="H21" s="155">
        <v>400</v>
      </c>
      <c r="I21" s="155"/>
      <c r="J21" s="153"/>
      <c r="K21" s="155"/>
      <c r="L21" s="155"/>
      <c r="M21" s="155"/>
      <c r="N21" s="153"/>
      <c r="O21" s="155" t="s">
        <v>313</v>
      </c>
      <c r="P21" s="155">
        <v>36</v>
      </c>
      <c r="Q21" s="155"/>
      <c r="R21" s="153"/>
      <c r="S21" s="154" t="s">
        <v>314</v>
      </c>
      <c r="T21" s="155">
        <v>560</v>
      </c>
      <c r="U21" s="155"/>
      <c r="V21" s="153"/>
      <c r="W21" s="154"/>
      <c r="X21" s="155"/>
      <c r="Y21" s="155"/>
      <c r="Z21" s="155"/>
      <c r="AA21" s="154">
        <v>25356711</v>
      </c>
      <c r="AB21" s="155">
        <v>600</v>
      </c>
      <c r="AC21" s="155"/>
      <c r="AD21" s="47"/>
      <c r="AE21" s="58"/>
      <c r="AF21" s="56"/>
    </row>
    <row r="22" spans="1:37" s="127" customFormat="1" ht="18.75" customHeight="1">
      <c r="A22" s="285">
        <v>46099</v>
      </c>
      <c r="B22" s="286"/>
      <c r="C22" s="284" t="s">
        <v>383</v>
      </c>
      <c r="D22" s="284" t="s">
        <v>383</v>
      </c>
      <c r="E22" s="284"/>
      <c r="F22" s="153"/>
      <c r="G22" s="284" t="s">
        <v>383</v>
      </c>
      <c r="H22" s="284" t="s">
        <v>383</v>
      </c>
      <c r="I22" s="284"/>
      <c r="J22" s="221"/>
      <c r="K22" s="284" t="s">
        <v>383</v>
      </c>
      <c r="L22" s="284" t="s">
        <v>383</v>
      </c>
      <c r="M22" s="284"/>
      <c r="N22" s="221"/>
      <c r="O22" s="284" t="s">
        <v>383</v>
      </c>
      <c r="P22" s="284" t="s">
        <v>383</v>
      </c>
      <c r="Q22" s="284"/>
      <c r="R22" s="221"/>
      <c r="S22" s="150" t="s">
        <v>383</v>
      </c>
      <c r="T22" s="284" t="s">
        <v>383</v>
      </c>
      <c r="U22" s="284"/>
      <c r="V22" s="221"/>
      <c r="W22" s="150" t="s">
        <v>383</v>
      </c>
      <c r="X22" s="284" t="s">
        <v>383</v>
      </c>
      <c r="Y22" s="284" t="s">
        <v>383</v>
      </c>
      <c r="Z22" s="284" t="s">
        <v>383</v>
      </c>
      <c r="AA22" s="150" t="s">
        <v>383</v>
      </c>
      <c r="AB22" s="284" t="s">
        <v>383</v>
      </c>
      <c r="AC22" s="284"/>
      <c r="AD22" s="182"/>
      <c r="AE22" s="287"/>
      <c r="AF22" s="219" t="s">
        <v>384</v>
      </c>
      <c r="AH22" s="127" t="s">
        <v>191</v>
      </c>
      <c r="AI22" s="127" t="s">
        <v>179</v>
      </c>
      <c r="AJ22" s="127" t="s">
        <v>385</v>
      </c>
    </row>
    <row r="23" spans="1:37" ht="18.75" customHeight="1">
      <c r="A23" s="70">
        <v>46100</v>
      </c>
      <c r="B23" s="60"/>
      <c r="C23" s="284" t="s">
        <v>383</v>
      </c>
      <c r="D23" s="284" t="s">
        <v>383</v>
      </c>
      <c r="E23" s="284"/>
      <c r="F23" s="153"/>
      <c r="G23" s="284" t="s">
        <v>383</v>
      </c>
      <c r="H23" s="284" t="s">
        <v>383</v>
      </c>
      <c r="I23" s="284"/>
      <c r="J23" s="221"/>
      <c r="K23" s="284" t="s">
        <v>383</v>
      </c>
      <c r="L23" s="284" t="s">
        <v>383</v>
      </c>
      <c r="M23" s="284"/>
      <c r="N23" s="221"/>
      <c r="O23" s="284" t="s">
        <v>383</v>
      </c>
      <c r="P23" s="284" t="s">
        <v>383</v>
      </c>
      <c r="Q23" s="284"/>
      <c r="R23" s="221"/>
      <c r="S23" s="150" t="s">
        <v>383</v>
      </c>
      <c r="T23" s="284" t="s">
        <v>383</v>
      </c>
      <c r="U23" s="284"/>
      <c r="V23" s="221"/>
      <c r="W23" s="150" t="s">
        <v>383</v>
      </c>
      <c r="X23" s="284" t="s">
        <v>383</v>
      </c>
      <c r="Y23" s="284" t="s">
        <v>383</v>
      </c>
      <c r="Z23" s="284" t="s">
        <v>383</v>
      </c>
      <c r="AA23" s="150" t="s">
        <v>383</v>
      </c>
      <c r="AB23" s="284" t="s">
        <v>383</v>
      </c>
      <c r="AC23" s="284"/>
      <c r="AD23" s="121"/>
      <c r="AE23" s="58"/>
      <c r="AF23" s="56"/>
      <c r="AH23" s="40" t="s">
        <v>386</v>
      </c>
      <c r="AI23" s="214">
        <f>SUM(AI8,AI14)</f>
        <v>2300</v>
      </c>
      <c r="AJ23" s="215">
        <f>SUM(AJ8,AJ14)</f>
        <v>1.4750000000000001</v>
      </c>
    </row>
    <row r="24" spans="1:37" ht="18.75" customHeight="1">
      <c r="A24" s="70">
        <v>46101</v>
      </c>
      <c r="B24" s="60"/>
      <c r="C24" s="284" t="s">
        <v>380</v>
      </c>
      <c r="D24" s="284" t="s">
        <v>380</v>
      </c>
      <c r="E24" s="284"/>
      <c r="F24" s="153"/>
      <c r="G24" s="155" t="s">
        <v>387</v>
      </c>
      <c r="H24" s="155">
        <v>200</v>
      </c>
      <c r="I24" s="155"/>
      <c r="J24" s="153"/>
      <c r="K24" s="155"/>
      <c r="L24" s="155"/>
      <c r="M24" s="155"/>
      <c r="N24" s="153"/>
      <c r="O24" s="155"/>
      <c r="P24" s="155"/>
      <c r="Q24" s="155"/>
      <c r="R24" s="153"/>
      <c r="S24" s="154" t="s">
        <v>309</v>
      </c>
      <c r="T24" s="155">
        <v>568</v>
      </c>
      <c r="U24" s="155"/>
      <c r="V24" s="153"/>
      <c r="W24" s="154"/>
      <c r="X24" s="155"/>
      <c r="Y24" s="155"/>
      <c r="Z24" s="155"/>
      <c r="AA24" s="154">
        <v>25356711</v>
      </c>
      <c r="AB24" s="155">
        <v>600</v>
      </c>
      <c r="AC24" s="155"/>
      <c r="AD24" s="121"/>
      <c r="AE24" s="58"/>
      <c r="AF24" s="56"/>
      <c r="AH24" s="40" t="s">
        <v>280</v>
      </c>
      <c r="AI24" s="214">
        <f>SUM(AI20)</f>
        <v>6355</v>
      </c>
      <c r="AJ24" s="215">
        <f>SUM(AJ20)</f>
        <v>0.28000000000000003</v>
      </c>
    </row>
    <row r="25" spans="1:37" ht="18.75" customHeight="1">
      <c r="A25" s="71">
        <v>46102</v>
      </c>
      <c r="B25" s="60"/>
      <c r="C25" s="220"/>
      <c r="D25" s="221"/>
      <c r="E25" s="221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8"/>
      <c r="T25" s="153"/>
      <c r="U25" s="153"/>
      <c r="V25" s="153"/>
      <c r="W25" s="158"/>
      <c r="X25" s="153"/>
      <c r="Y25" s="153"/>
      <c r="Z25" s="153"/>
      <c r="AA25" s="153"/>
      <c r="AB25" s="153"/>
      <c r="AC25" s="153"/>
      <c r="AD25" s="121"/>
      <c r="AE25" s="58"/>
      <c r="AF25" s="56"/>
      <c r="AH25" s="216" t="s">
        <v>187</v>
      </c>
      <c r="AI25" s="217">
        <f>SUM(AI23:AI24)</f>
        <v>8655</v>
      </c>
      <c r="AJ25" s="218">
        <f>SUM(AJ23:AJ24)</f>
        <v>1.7550000000000001</v>
      </c>
    </row>
    <row r="26" spans="1:37" ht="18.75" customHeight="1">
      <c r="A26" s="71">
        <v>46103</v>
      </c>
      <c r="B26" s="60"/>
      <c r="C26" s="220"/>
      <c r="D26" s="221"/>
      <c r="E26" s="221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8"/>
      <c r="T26" s="153"/>
      <c r="U26" s="153"/>
      <c r="V26" s="153"/>
      <c r="W26" s="158"/>
      <c r="X26" s="153"/>
      <c r="Y26" s="153"/>
      <c r="Z26" s="153"/>
      <c r="AA26" s="153"/>
      <c r="AB26" s="153"/>
      <c r="AC26" s="153"/>
      <c r="AD26" s="121"/>
      <c r="AE26" s="58"/>
      <c r="AF26" s="56"/>
    </row>
    <row r="27" spans="1:37" ht="18.75" customHeight="1">
      <c r="A27" s="70">
        <v>46104</v>
      </c>
      <c r="B27" s="60"/>
      <c r="C27" s="219" t="s">
        <v>380</v>
      </c>
      <c r="D27" s="219" t="s">
        <v>380</v>
      </c>
      <c r="E27" s="219"/>
      <c r="F27" s="153"/>
      <c r="G27" s="164"/>
      <c r="H27" s="164"/>
      <c r="I27" s="164"/>
      <c r="J27" s="153"/>
      <c r="K27" s="164"/>
      <c r="L27" s="164"/>
      <c r="M27" s="164"/>
      <c r="N27" s="153"/>
      <c r="O27" s="166"/>
      <c r="P27" s="166"/>
      <c r="Q27" s="166"/>
      <c r="R27" s="153"/>
      <c r="S27" s="165"/>
      <c r="T27" s="164"/>
      <c r="U27" s="164"/>
      <c r="V27" s="153"/>
      <c r="W27" s="156" t="s">
        <v>334</v>
      </c>
      <c r="X27" s="157">
        <v>220</v>
      </c>
      <c r="Y27" s="164"/>
      <c r="Z27" s="164"/>
      <c r="AA27" s="164"/>
      <c r="AB27" s="164"/>
      <c r="AC27" s="164"/>
      <c r="AD27" s="121"/>
      <c r="AE27" s="58"/>
      <c r="AF27" s="56"/>
    </row>
    <row r="28" spans="1:37" ht="18.75" customHeight="1">
      <c r="A28" s="70">
        <v>46105</v>
      </c>
      <c r="B28" s="60"/>
      <c r="C28" s="219" t="s">
        <v>388</v>
      </c>
      <c r="D28" s="219" t="s">
        <v>388</v>
      </c>
      <c r="E28" s="219"/>
      <c r="F28" s="153"/>
      <c r="G28" s="219" t="s">
        <v>388</v>
      </c>
      <c r="H28" s="219" t="s">
        <v>388</v>
      </c>
      <c r="I28" s="219"/>
      <c r="J28" s="153"/>
      <c r="K28" s="219" t="s">
        <v>388</v>
      </c>
      <c r="L28" s="219" t="s">
        <v>388</v>
      </c>
      <c r="M28" s="219"/>
      <c r="N28" s="153"/>
      <c r="O28" s="166"/>
      <c r="P28" s="166"/>
      <c r="Q28" s="166"/>
      <c r="R28" s="153"/>
      <c r="S28" s="219" t="s">
        <v>388</v>
      </c>
      <c r="T28" s="219" t="s">
        <v>388</v>
      </c>
      <c r="U28" s="219"/>
      <c r="V28" s="153"/>
      <c r="W28" s="165"/>
      <c r="X28" s="164"/>
      <c r="Y28" s="219" t="s">
        <v>388</v>
      </c>
      <c r="Z28" s="219" t="s">
        <v>388</v>
      </c>
      <c r="AA28" s="219" t="s">
        <v>388</v>
      </c>
      <c r="AB28" s="219" t="s">
        <v>388</v>
      </c>
      <c r="AC28" s="219"/>
      <c r="AD28" s="121"/>
      <c r="AE28" s="58"/>
      <c r="AF28" s="56"/>
      <c r="AH28" s="39"/>
      <c r="AI28" s="39"/>
      <c r="AJ28" s="39"/>
      <c r="AK28" s="39"/>
    </row>
    <row r="29" spans="1:37" ht="18.75" customHeight="1">
      <c r="A29" s="70">
        <v>46106</v>
      </c>
      <c r="B29" s="60"/>
      <c r="C29" s="219" t="s">
        <v>388</v>
      </c>
      <c r="D29" s="219" t="s">
        <v>388</v>
      </c>
      <c r="E29" s="219"/>
      <c r="F29" s="153"/>
      <c r="G29" s="219" t="s">
        <v>388</v>
      </c>
      <c r="H29" s="219" t="s">
        <v>388</v>
      </c>
      <c r="I29" s="219"/>
      <c r="J29" s="153"/>
      <c r="K29" s="219" t="s">
        <v>388</v>
      </c>
      <c r="L29" s="219" t="s">
        <v>388</v>
      </c>
      <c r="M29" s="219"/>
      <c r="N29" s="153"/>
      <c r="O29" s="157" t="s">
        <v>307</v>
      </c>
      <c r="P29" s="157">
        <v>36</v>
      </c>
      <c r="Q29" s="157"/>
      <c r="R29" s="153"/>
      <c r="S29" s="219" t="s">
        <v>388</v>
      </c>
      <c r="T29" s="219" t="s">
        <v>388</v>
      </c>
      <c r="U29" s="219"/>
      <c r="V29" s="153"/>
      <c r="W29" s="156" t="s">
        <v>330</v>
      </c>
      <c r="X29" s="157">
        <v>94</v>
      </c>
      <c r="Y29" s="219" t="s">
        <v>388</v>
      </c>
      <c r="Z29" s="219" t="s">
        <v>388</v>
      </c>
      <c r="AA29" s="219" t="s">
        <v>388</v>
      </c>
      <c r="AB29" s="219" t="s">
        <v>388</v>
      </c>
      <c r="AC29" s="219"/>
      <c r="AD29" s="121"/>
      <c r="AE29" s="58"/>
      <c r="AF29" s="56"/>
      <c r="AH29" s="39"/>
      <c r="AI29" s="39"/>
      <c r="AJ29" s="39"/>
      <c r="AK29" s="39"/>
    </row>
    <row r="30" spans="1:37" ht="18.75" customHeight="1">
      <c r="A30" s="70">
        <v>46107</v>
      </c>
      <c r="B30" s="60"/>
      <c r="C30" s="219" t="s">
        <v>388</v>
      </c>
      <c r="D30" s="219" t="s">
        <v>388</v>
      </c>
      <c r="E30" s="219"/>
      <c r="F30" s="153"/>
      <c r="G30" s="219" t="s">
        <v>388</v>
      </c>
      <c r="H30" s="219" t="s">
        <v>388</v>
      </c>
      <c r="I30" s="219"/>
      <c r="J30" s="153"/>
      <c r="K30" s="219" t="s">
        <v>388</v>
      </c>
      <c r="L30" s="219" t="s">
        <v>388</v>
      </c>
      <c r="M30" s="219"/>
      <c r="N30" s="153"/>
      <c r="O30" s="157" t="s">
        <v>307</v>
      </c>
      <c r="P30" s="157">
        <v>36</v>
      </c>
      <c r="Q30" s="157"/>
      <c r="R30" s="153"/>
      <c r="S30" s="219" t="s">
        <v>388</v>
      </c>
      <c r="T30" s="219" t="s">
        <v>388</v>
      </c>
      <c r="U30" s="219"/>
      <c r="V30" s="153"/>
      <c r="W30" s="156" t="s">
        <v>334</v>
      </c>
      <c r="X30" s="157">
        <v>142</v>
      </c>
      <c r="Y30" s="219" t="s">
        <v>388</v>
      </c>
      <c r="Z30" s="219" t="s">
        <v>388</v>
      </c>
      <c r="AA30" s="219" t="s">
        <v>388</v>
      </c>
      <c r="AB30" s="219" t="s">
        <v>388</v>
      </c>
      <c r="AC30" s="219"/>
      <c r="AD30" s="121"/>
      <c r="AE30" s="58"/>
      <c r="AF30" s="56"/>
      <c r="AH30" s="39"/>
      <c r="AI30" s="39"/>
      <c r="AJ30" s="39"/>
      <c r="AK30" s="39"/>
    </row>
    <row r="31" spans="1:37" ht="18.75" customHeight="1">
      <c r="A31" s="70">
        <v>46108</v>
      </c>
      <c r="B31" s="60"/>
      <c r="C31" s="219" t="s">
        <v>388</v>
      </c>
      <c r="D31" s="219" t="s">
        <v>388</v>
      </c>
      <c r="E31" s="219"/>
      <c r="F31" s="153"/>
      <c r="G31" s="219" t="s">
        <v>388</v>
      </c>
      <c r="H31" s="219" t="s">
        <v>388</v>
      </c>
      <c r="I31" s="219"/>
      <c r="J31" s="153"/>
      <c r="K31" s="219" t="s">
        <v>388</v>
      </c>
      <c r="L31" s="219" t="s">
        <v>388</v>
      </c>
      <c r="M31" s="219"/>
      <c r="N31" s="153"/>
      <c r="O31" s="157" t="s">
        <v>307</v>
      </c>
      <c r="P31" s="157">
        <v>28</v>
      </c>
      <c r="Q31" s="157"/>
      <c r="R31" s="153"/>
      <c r="S31" s="219" t="s">
        <v>388</v>
      </c>
      <c r="T31" s="219" t="s">
        <v>388</v>
      </c>
      <c r="U31" s="219"/>
      <c r="V31" s="153"/>
      <c r="W31" s="165"/>
      <c r="X31" s="164"/>
      <c r="Y31" s="219" t="s">
        <v>388</v>
      </c>
      <c r="Z31" s="219" t="s">
        <v>388</v>
      </c>
      <c r="AA31" s="219" t="s">
        <v>388</v>
      </c>
      <c r="AB31" s="219" t="s">
        <v>388</v>
      </c>
      <c r="AC31" s="219"/>
      <c r="AD31" s="121"/>
      <c r="AE31" s="58"/>
      <c r="AF31" s="56"/>
      <c r="AH31" s="39"/>
      <c r="AI31" s="39"/>
      <c r="AJ31" s="39"/>
      <c r="AK31" s="39"/>
    </row>
    <row r="32" spans="1:37" ht="18.75" customHeight="1">
      <c r="A32" s="71">
        <v>46109</v>
      </c>
      <c r="B32" s="60"/>
      <c r="C32" s="158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8"/>
      <c r="T32" s="153"/>
      <c r="U32" s="153"/>
      <c r="V32" s="153"/>
      <c r="W32" s="158"/>
      <c r="X32" s="153"/>
      <c r="Y32" s="153"/>
      <c r="Z32" s="153"/>
      <c r="AA32" s="153"/>
      <c r="AB32" s="153"/>
      <c r="AC32" s="153"/>
      <c r="AD32" s="121"/>
      <c r="AE32" s="58"/>
      <c r="AF32" s="56"/>
      <c r="AH32" s="39"/>
      <c r="AI32" s="39"/>
      <c r="AJ32" s="39"/>
      <c r="AK32" s="39"/>
    </row>
    <row r="33" spans="1:37" ht="18.75" customHeight="1">
      <c r="A33" s="71">
        <v>46110</v>
      </c>
      <c r="B33" s="60"/>
      <c r="C33" s="158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8"/>
      <c r="T33" s="153"/>
      <c r="U33" s="153"/>
      <c r="V33" s="153"/>
      <c r="W33" s="158"/>
      <c r="X33" s="153"/>
      <c r="Y33" s="153"/>
      <c r="Z33" s="153"/>
      <c r="AA33" s="153"/>
      <c r="AB33" s="153"/>
      <c r="AC33" s="153"/>
      <c r="AD33" s="121"/>
      <c r="AE33" s="58"/>
      <c r="AF33" s="56"/>
      <c r="AH33" s="39"/>
      <c r="AI33" s="39"/>
      <c r="AJ33" s="39"/>
      <c r="AK33" s="39"/>
    </row>
    <row r="34" spans="1:37" ht="18.75" customHeight="1">
      <c r="A34" s="69">
        <v>46111</v>
      </c>
      <c r="B34" s="60"/>
      <c r="C34" s="165"/>
      <c r="D34" s="164"/>
      <c r="E34" s="164"/>
      <c r="F34" s="153"/>
      <c r="G34" s="164"/>
      <c r="H34" s="164"/>
      <c r="I34" s="164"/>
      <c r="J34" s="153"/>
      <c r="K34" s="164"/>
      <c r="L34" s="164"/>
      <c r="M34" s="164"/>
      <c r="N34" s="153"/>
      <c r="O34" s="164"/>
      <c r="P34" s="164"/>
      <c r="Q34" s="164"/>
      <c r="R34" s="153"/>
      <c r="S34" s="165"/>
      <c r="T34" s="164"/>
      <c r="U34" s="164"/>
      <c r="V34" s="153"/>
      <c r="W34" s="165"/>
      <c r="X34" s="164"/>
      <c r="Y34" s="164"/>
      <c r="Z34" s="164"/>
      <c r="AA34" s="164"/>
      <c r="AB34" s="164"/>
      <c r="AC34" s="164"/>
      <c r="AD34" s="121"/>
      <c r="AE34" s="58"/>
      <c r="AF34" s="56"/>
      <c r="AH34" s="39"/>
      <c r="AI34" s="39"/>
      <c r="AJ34" s="39"/>
      <c r="AK34" s="39"/>
    </row>
    <row r="35" spans="1:37" ht="18.75" customHeight="1" thickBot="1">
      <c r="A35" s="72">
        <v>46112</v>
      </c>
      <c r="B35" s="60"/>
      <c r="C35" s="167"/>
      <c r="D35" s="168"/>
      <c r="E35" s="168"/>
      <c r="F35" s="169"/>
      <c r="G35" s="168"/>
      <c r="H35" s="168"/>
      <c r="I35" s="168"/>
      <c r="J35" s="169"/>
      <c r="K35" s="168"/>
      <c r="L35" s="168"/>
      <c r="M35" s="168"/>
      <c r="N35" s="169"/>
      <c r="O35" s="168"/>
      <c r="P35" s="168"/>
      <c r="Q35" s="168"/>
      <c r="R35" s="169"/>
      <c r="S35" s="167"/>
      <c r="T35" s="168"/>
      <c r="U35" s="168"/>
      <c r="V35" s="169"/>
      <c r="W35" s="167"/>
      <c r="X35" s="168"/>
      <c r="Y35" s="168"/>
      <c r="Z35" s="168"/>
      <c r="AA35" s="168"/>
      <c r="AB35" s="168"/>
      <c r="AC35" s="168"/>
      <c r="AD35" s="121"/>
      <c r="AE35" s="74"/>
      <c r="AF35" s="73"/>
    </row>
    <row r="36" spans="1:37" s="127" customFormat="1" ht="18.75" customHeight="1" thickTop="1">
      <c r="A36" s="148" t="s">
        <v>298</v>
      </c>
      <c r="C36" s="170"/>
      <c r="D36" s="171">
        <v>600</v>
      </c>
      <c r="E36" s="328"/>
      <c r="F36" s="172"/>
      <c r="G36" s="173"/>
      <c r="H36" s="171">
        <v>400</v>
      </c>
      <c r="I36" s="328"/>
      <c r="J36" s="172"/>
      <c r="K36" s="173"/>
      <c r="L36" s="171">
        <f>SUM(L5:L34)</f>
        <v>0</v>
      </c>
      <c r="M36" s="328"/>
      <c r="N36" s="172"/>
      <c r="O36" s="173"/>
      <c r="P36" s="171">
        <v>172</v>
      </c>
      <c r="Q36" s="328"/>
      <c r="R36" s="172"/>
      <c r="S36" s="170"/>
      <c r="T36" s="171">
        <f>SUM(T5:T34)</f>
        <v>1128</v>
      </c>
      <c r="U36" s="328"/>
      <c r="V36" s="174"/>
      <c r="W36" s="170"/>
      <c r="X36" s="171">
        <f>SUM(X5:X34)</f>
        <v>456</v>
      </c>
      <c r="Y36" s="173"/>
      <c r="Z36" s="171">
        <f>SUM(Z5:Z34)</f>
        <v>0</v>
      </c>
      <c r="AA36" s="173"/>
      <c r="AB36" s="171">
        <f>SUM(AB5:AB34)</f>
        <v>5899</v>
      </c>
      <c r="AC36" s="329"/>
      <c r="AD36" s="180"/>
      <c r="AE36" s="181"/>
      <c r="AF36" s="182"/>
      <c r="AH36" s="40"/>
      <c r="AI36" s="40"/>
      <c r="AJ36" s="40"/>
      <c r="AK36" s="40"/>
    </row>
    <row r="37" spans="1:37" s="127" customFormat="1" ht="18.75" customHeight="1">
      <c r="A37" s="148" t="s">
        <v>299</v>
      </c>
      <c r="C37" s="175"/>
      <c r="D37" s="176">
        <v>600</v>
      </c>
      <c r="E37" s="176"/>
      <c r="F37" s="122"/>
      <c r="H37" s="176">
        <f>AI7</f>
        <v>400</v>
      </c>
      <c r="I37" s="176"/>
      <c r="J37" s="122"/>
      <c r="L37" s="176">
        <f>AI11</f>
        <v>0</v>
      </c>
      <c r="M37" s="176"/>
      <c r="N37" s="122"/>
      <c r="P37" s="176">
        <f>AI12</f>
        <v>172</v>
      </c>
      <c r="Q37" s="176"/>
      <c r="R37" s="122"/>
      <c r="S37" s="175"/>
      <c r="T37" s="176">
        <f>AI13</f>
        <v>1128</v>
      </c>
      <c r="U37" s="176"/>
      <c r="V37" s="177"/>
      <c r="W37" s="175"/>
      <c r="X37" s="148">
        <v>456</v>
      </c>
      <c r="Z37" s="148">
        <v>0</v>
      </c>
      <c r="AB37" s="176">
        <v>5899</v>
      </c>
      <c r="AC37" s="176"/>
      <c r="AD37" s="181"/>
      <c r="AE37" s="122"/>
      <c r="AH37" s="40"/>
      <c r="AI37" s="40"/>
      <c r="AJ37" s="40"/>
      <c r="AK37" s="40"/>
    </row>
    <row r="38" spans="1:37" s="127" customFormat="1" ht="18.75" customHeight="1">
      <c r="A38" s="148" t="s">
        <v>42</v>
      </c>
      <c r="C38" s="175"/>
      <c r="D38" s="178">
        <f>D37/AI6</f>
        <v>1</v>
      </c>
      <c r="E38" s="178"/>
      <c r="F38" s="122"/>
      <c r="H38" s="178">
        <f>H37/AI7</f>
        <v>1</v>
      </c>
      <c r="I38" s="178"/>
      <c r="J38" s="122"/>
      <c r="L38" s="178">
        <v>0</v>
      </c>
      <c r="M38" s="178"/>
      <c r="N38" s="122"/>
      <c r="P38" s="178">
        <f>P37/AI12</f>
        <v>1</v>
      </c>
      <c r="Q38" s="178"/>
      <c r="R38" s="122"/>
      <c r="S38" s="175"/>
      <c r="T38" s="178">
        <f>T37/T36</f>
        <v>1</v>
      </c>
      <c r="U38" s="178"/>
      <c r="V38" s="177"/>
      <c r="W38" s="175"/>
      <c r="X38" s="179">
        <f>X37/X36</f>
        <v>1</v>
      </c>
      <c r="Z38" s="179">
        <v>0</v>
      </c>
      <c r="AB38" s="179">
        <f>AB37/AB36</f>
        <v>1</v>
      </c>
      <c r="AC38" s="179"/>
      <c r="AD38" s="183"/>
      <c r="AE38" s="122"/>
      <c r="AH38" s="40"/>
      <c r="AI38" s="40"/>
      <c r="AJ38" s="40"/>
      <c r="AK38" s="40"/>
    </row>
    <row r="39" spans="1:37">
      <c r="V39" s="59"/>
    </row>
    <row r="40" spans="1:37" ht="18.75" thickBot="1">
      <c r="T40" s="40" t="s">
        <v>187</v>
      </c>
      <c r="U40" s="40"/>
      <c r="AB40" s="40" t="s">
        <v>187</v>
      </c>
      <c r="AC40" s="40"/>
      <c r="AD40" s="40"/>
    </row>
    <row r="41" spans="1:37" s="127" customFormat="1" ht="20.25">
      <c r="A41" s="184" t="s">
        <v>389</v>
      </c>
      <c r="C41" s="184">
        <v>174.68</v>
      </c>
      <c r="G41" s="184">
        <v>174.68</v>
      </c>
      <c r="K41" s="184">
        <v>174.68</v>
      </c>
      <c r="O41" s="184">
        <v>174.68</v>
      </c>
      <c r="S41" s="184">
        <v>174.68</v>
      </c>
      <c r="T41" s="185">
        <v>174.68</v>
      </c>
      <c r="U41" s="148"/>
      <c r="W41" s="184">
        <v>174.68</v>
      </c>
      <c r="Y41" s="184">
        <v>174.68</v>
      </c>
      <c r="AA41" s="184">
        <v>174.68</v>
      </c>
      <c r="AB41" s="185">
        <v>174.68</v>
      </c>
      <c r="AC41" s="148"/>
      <c r="AD41" s="122"/>
      <c r="AH41" s="40"/>
      <c r="AI41" s="40"/>
      <c r="AJ41" s="40"/>
      <c r="AK41" s="40"/>
    </row>
    <row r="42" spans="1:37" s="127" customFormat="1" ht="20.25">
      <c r="A42" s="186" t="s">
        <v>390</v>
      </c>
      <c r="C42" s="186">
        <v>63.52</v>
      </c>
      <c r="G42" s="186">
        <v>15.88</v>
      </c>
      <c r="K42" s="186">
        <v>0</v>
      </c>
      <c r="O42" s="186">
        <v>79.400000000000006</v>
      </c>
      <c r="S42" s="186">
        <v>15.88</v>
      </c>
      <c r="T42" s="187">
        <f>SUM(C42,G42,K42,O42,S42)</f>
        <v>174.68</v>
      </c>
      <c r="U42" s="148"/>
      <c r="W42" s="186">
        <v>15.88</v>
      </c>
      <c r="Y42" s="186">
        <v>0</v>
      </c>
      <c r="AA42" s="186">
        <v>79.400000000000006</v>
      </c>
      <c r="AB42" s="187">
        <f>SUM(W42,Y42,AA42)</f>
        <v>95.28</v>
      </c>
      <c r="AC42" s="148"/>
      <c r="AD42" s="122"/>
      <c r="AH42" s="40"/>
      <c r="AI42" s="40"/>
      <c r="AJ42" s="40"/>
      <c r="AK42" s="40"/>
    </row>
    <row r="43" spans="1:37" s="127" customFormat="1" ht="20.25">
      <c r="A43" s="186" t="s">
        <v>42</v>
      </c>
      <c r="C43" s="188">
        <f>C42/C41</f>
        <v>0.36363636363636365</v>
      </c>
      <c r="G43" s="188">
        <f>G42/G41</f>
        <v>9.0909090909090912E-2</v>
      </c>
      <c r="K43" s="186">
        <v>0</v>
      </c>
      <c r="O43" s="188">
        <f>O42/O41</f>
        <v>0.45454545454545459</v>
      </c>
      <c r="S43" s="188">
        <f>S42/S41</f>
        <v>9.0909090909090912E-2</v>
      </c>
      <c r="T43" s="189">
        <f>T42/T41</f>
        <v>1</v>
      </c>
      <c r="U43" s="330"/>
      <c r="W43" s="188">
        <f>W42/W41</f>
        <v>9.0909090909090912E-2</v>
      </c>
      <c r="Y43" s="188">
        <f>Y42/Y41</f>
        <v>0</v>
      </c>
      <c r="AA43" s="188">
        <f>AA42/AA41</f>
        <v>0.45454545454545459</v>
      </c>
      <c r="AB43" s="189">
        <f>AB42/AB41</f>
        <v>0.54545454545454541</v>
      </c>
      <c r="AC43" s="330"/>
      <c r="AD43" s="190"/>
      <c r="AH43" s="40"/>
      <c r="AI43" s="40"/>
      <c r="AJ43" s="40"/>
      <c r="AK43" s="40"/>
    </row>
    <row r="44" spans="1:37" s="127" customFormat="1" ht="21" thickBot="1">
      <c r="A44" s="191" t="s">
        <v>367</v>
      </c>
      <c r="C44" s="191">
        <v>2</v>
      </c>
      <c r="G44" s="191">
        <v>2</v>
      </c>
      <c r="K44" s="191">
        <v>0</v>
      </c>
      <c r="O44" s="191">
        <v>2</v>
      </c>
      <c r="S44" s="191">
        <v>2</v>
      </c>
      <c r="T44" s="192">
        <v>4</v>
      </c>
      <c r="U44" s="148"/>
      <c r="W44" s="191">
        <v>2</v>
      </c>
      <c r="Y44" s="191">
        <v>0</v>
      </c>
      <c r="AA44" s="191">
        <v>2</v>
      </c>
      <c r="AB44" s="192">
        <v>2</v>
      </c>
      <c r="AC44" s="148"/>
      <c r="AD44" s="122"/>
      <c r="AH44" s="40"/>
      <c r="AI44" s="40"/>
      <c r="AJ44" s="40"/>
      <c r="AK44" s="40"/>
    </row>
    <row r="45" spans="1:37" ht="18.75" thickBot="1"/>
    <row r="46" spans="1:37" s="127" customFormat="1" ht="20.25">
      <c r="A46" s="184" t="s">
        <v>391</v>
      </c>
      <c r="C46" s="175"/>
      <c r="D46" s="184"/>
      <c r="E46" s="331"/>
      <c r="H46" s="184"/>
      <c r="I46" s="331"/>
      <c r="L46" s="184"/>
      <c r="M46" s="331"/>
      <c r="P46" s="184"/>
      <c r="Q46" s="331"/>
      <c r="S46" s="175"/>
      <c r="T46" s="184"/>
      <c r="U46" s="331"/>
      <c r="W46" s="175"/>
      <c r="X46" s="184"/>
      <c r="AA46" s="184"/>
      <c r="AH46" s="40"/>
      <c r="AI46" s="40"/>
      <c r="AJ46" s="40"/>
      <c r="AK46" s="40"/>
    </row>
    <row r="47" spans="1:37" s="127" customFormat="1" ht="20.25">
      <c r="A47" s="186" t="s">
        <v>392</v>
      </c>
      <c r="C47" s="175"/>
      <c r="D47" s="186"/>
      <c r="E47" s="331"/>
      <c r="H47" s="186"/>
      <c r="I47" s="331"/>
      <c r="L47" s="186"/>
      <c r="M47" s="331"/>
      <c r="P47" s="186"/>
      <c r="Q47" s="331"/>
      <c r="S47" s="175"/>
      <c r="T47" s="186"/>
      <c r="U47" s="331"/>
      <c r="W47" s="175"/>
      <c r="X47" s="186"/>
      <c r="AA47" s="186"/>
      <c r="AH47" s="40"/>
      <c r="AI47" s="40"/>
      <c r="AJ47" s="40"/>
      <c r="AK47" s="40"/>
    </row>
    <row r="48" spans="1:37" s="127" customFormat="1" ht="20.25">
      <c r="A48" s="186" t="s">
        <v>393</v>
      </c>
      <c r="C48" s="175"/>
      <c r="D48" s="186"/>
      <c r="E48" s="331"/>
      <c r="H48" s="186"/>
      <c r="I48" s="331"/>
      <c r="L48" s="186"/>
      <c r="M48" s="331"/>
      <c r="P48" s="186"/>
      <c r="Q48" s="331"/>
      <c r="S48" s="175"/>
      <c r="T48" s="186"/>
      <c r="U48" s="331"/>
      <c r="W48" s="175"/>
      <c r="X48" s="186"/>
      <c r="AA48" s="186"/>
      <c r="AH48" s="40"/>
      <c r="AI48" s="40"/>
      <c r="AJ48" s="40"/>
      <c r="AK48" s="40"/>
    </row>
    <row r="49" spans="1:37" s="127" customFormat="1" ht="21" thickBot="1">
      <c r="A49" s="191" t="s">
        <v>394</v>
      </c>
      <c r="C49" s="175"/>
      <c r="D49" s="193"/>
      <c r="E49" s="332"/>
      <c r="H49" s="193"/>
      <c r="I49" s="332"/>
      <c r="L49" s="193"/>
      <c r="M49" s="332"/>
      <c r="P49" s="193"/>
      <c r="Q49" s="332"/>
      <c r="S49" s="175"/>
      <c r="T49" s="193"/>
      <c r="U49" s="332"/>
      <c r="W49" s="175"/>
      <c r="X49" s="193"/>
      <c r="AA49" s="193"/>
      <c r="AH49" s="40"/>
      <c r="AI49" s="40"/>
      <c r="AJ49" s="40"/>
      <c r="AK49" s="40"/>
    </row>
    <row r="53" spans="1:37" ht="26.25">
      <c r="C53" s="942" t="s">
        <v>300</v>
      </c>
      <c r="D53" s="942"/>
      <c r="E53" s="942"/>
      <c r="F53" s="942"/>
      <c r="G53" s="942"/>
      <c r="H53" s="942"/>
      <c r="I53" s="942"/>
      <c r="J53" s="942"/>
      <c r="K53" s="942"/>
      <c r="L53" s="942"/>
      <c r="M53" s="942"/>
      <c r="N53" s="942"/>
      <c r="O53" s="942"/>
      <c r="P53" s="942"/>
      <c r="Q53" s="942"/>
      <c r="R53" s="942"/>
      <c r="S53" s="942"/>
      <c r="T53" s="942"/>
      <c r="U53" s="942"/>
      <c r="V53" s="942"/>
      <c r="W53" s="942"/>
      <c r="X53" s="942"/>
      <c r="Y53" s="942"/>
      <c r="Z53" s="942"/>
      <c r="AA53" s="942"/>
    </row>
    <row r="55" spans="1:37" s="40" customFormat="1" ht="12" customHeight="1" thickTop="1">
      <c r="C55" s="65" t="s">
        <v>282</v>
      </c>
      <c r="G55" s="65" t="s">
        <v>301</v>
      </c>
      <c r="H55" s="80"/>
      <c r="I55" s="80"/>
      <c r="K55" s="67" t="s">
        <v>284</v>
      </c>
      <c r="O55" s="67" t="s">
        <v>302</v>
      </c>
      <c r="P55" s="80"/>
      <c r="Q55" s="80"/>
      <c r="S55" s="65" t="s">
        <v>303</v>
      </c>
      <c r="T55" s="80"/>
      <c r="U55" s="80"/>
      <c r="W55" s="65" t="s">
        <v>287</v>
      </c>
      <c r="Y55" s="67" t="s">
        <v>288</v>
      </c>
      <c r="AA55" s="67" t="s">
        <v>289</v>
      </c>
      <c r="AB55" s="63"/>
      <c r="AC55" s="63"/>
      <c r="AD55" s="63"/>
    </row>
    <row r="56" spans="1:37" s="42" customFormat="1" ht="12" customHeight="1">
      <c r="C56" s="64">
        <v>8113941</v>
      </c>
      <c r="D56" s="80" t="s">
        <v>304</v>
      </c>
      <c r="E56" s="80"/>
      <c r="G56" s="43" t="s">
        <v>395</v>
      </c>
      <c r="H56" s="80" t="s">
        <v>305</v>
      </c>
      <c r="I56" s="80"/>
      <c r="K56" s="43" t="s">
        <v>306</v>
      </c>
      <c r="L56" s="80" t="s">
        <v>304</v>
      </c>
      <c r="M56" s="80"/>
      <c r="O56" s="43" t="s">
        <v>307</v>
      </c>
      <c r="P56" s="80" t="s">
        <v>308</v>
      </c>
      <c r="Q56" s="80"/>
      <c r="S56" s="64" t="s">
        <v>309</v>
      </c>
      <c r="T56" s="80" t="s">
        <v>305</v>
      </c>
      <c r="U56" s="80"/>
      <c r="W56" s="64">
        <v>28267282</v>
      </c>
      <c r="Y56" s="43" t="s">
        <v>310</v>
      </c>
      <c r="AA56" s="43" t="s">
        <v>311</v>
      </c>
      <c r="AB56" s="62"/>
      <c r="AC56" s="62"/>
      <c r="AD56" s="62"/>
      <c r="AH56" s="40"/>
      <c r="AI56" s="40"/>
      <c r="AJ56" s="40"/>
      <c r="AK56" s="40"/>
    </row>
    <row r="57" spans="1:37" s="42" customFormat="1" ht="12" customHeight="1">
      <c r="C57" s="64">
        <v>85000071</v>
      </c>
      <c r="D57" s="80" t="s">
        <v>304</v>
      </c>
      <c r="E57" s="80"/>
      <c r="G57" s="43" t="s">
        <v>396</v>
      </c>
      <c r="H57" s="80" t="s">
        <v>305</v>
      </c>
      <c r="I57" s="80"/>
      <c r="K57" s="43" t="s">
        <v>312</v>
      </c>
      <c r="L57" s="80" t="s">
        <v>304</v>
      </c>
      <c r="M57" s="80"/>
      <c r="O57" s="43" t="s">
        <v>313</v>
      </c>
      <c r="P57" s="80" t="s">
        <v>305</v>
      </c>
      <c r="Q57" s="80"/>
      <c r="S57" s="64" t="s">
        <v>314</v>
      </c>
      <c r="T57" s="80" t="s">
        <v>305</v>
      </c>
      <c r="U57" s="80"/>
      <c r="W57" s="64">
        <v>28267283</v>
      </c>
      <c r="Y57" s="43" t="s">
        <v>315</v>
      </c>
      <c r="AA57" s="43" t="s">
        <v>316</v>
      </c>
      <c r="AH57" s="40"/>
      <c r="AI57" s="40"/>
      <c r="AJ57" s="40"/>
      <c r="AK57" s="40"/>
    </row>
    <row r="58" spans="1:37" s="42" customFormat="1" ht="12" customHeight="1" thickBot="1">
      <c r="C58" s="64">
        <v>85003263</v>
      </c>
      <c r="D58" s="80" t="s">
        <v>317</v>
      </c>
      <c r="E58" s="80"/>
      <c r="G58" s="48" t="s">
        <v>318</v>
      </c>
      <c r="H58" s="80"/>
      <c r="I58" s="80"/>
      <c r="K58" s="43" t="s">
        <v>319</v>
      </c>
      <c r="L58" s="80" t="s">
        <v>317</v>
      </c>
      <c r="M58" s="80"/>
      <c r="O58" s="43" t="s">
        <v>320</v>
      </c>
      <c r="P58" s="80" t="s">
        <v>305</v>
      </c>
      <c r="Q58" s="80"/>
      <c r="S58" s="66" t="s">
        <v>318</v>
      </c>
      <c r="T58" s="80"/>
      <c r="U58" s="80"/>
      <c r="W58" s="64">
        <v>28267284</v>
      </c>
      <c r="Y58" s="48" t="s">
        <v>318</v>
      </c>
      <c r="AA58" s="43" t="s">
        <v>321</v>
      </c>
      <c r="AH58" s="40"/>
      <c r="AI58" s="40"/>
      <c r="AJ58" s="40"/>
      <c r="AK58" s="40"/>
    </row>
    <row r="59" spans="1:37" s="42" customFormat="1" ht="12" customHeight="1" thickTop="1">
      <c r="C59" s="64">
        <v>85003264</v>
      </c>
      <c r="D59" s="80" t="s">
        <v>317</v>
      </c>
      <c r="E59" s="80"/>
      <c r="G59" s="967" t="s">
        <v>322</v>
      </c>
      <c r="H59" s="967"/>
      <c r="I59" s="316"/>
      <c r="K59" s="43" t="s">
        <v>323</v>
      </c>
      <c r="L59" s="80" t="s">
        <v>317</v>
      </c>
      <c r="M59" s="80"/>
      <c r="O59" s="43" t="s">
        <v>324</v>
      </c>
      <c r="P59" s="80" t="s">
        <v>308</v>
      </c>
      <c r="Q59" s="80"/>
      <c r="S59" s="81" t="s">
        <v>325</v>
      </c>
      <c r="W59" s="64" t="s">
        <v>326</v>
      </c>
      <c r="AA59" s="43" t="s">
        <v>327</v>
      </c>
      <c r="AH59" s="40"/>
      <c r="AI59" s="40"/>
      <c r="AJ59" s="40"/>
      <c r="AK59" s="40"/>
    </row>
    <row r="60" spans="1:37" s="42" customFormat="1" ht="12" customHeight="1">
      <c r="C60" s="64">
        <v>85003268</v>
      </c>
      <c r="D60" s="80" t="s">
        <v>317</v>
      </c>
      <c r="E60" s="80"/>
      <c r="G60" s="967" t="s">
        <v>397</v>
      </c>
      <c r="H60" s="967"/>
      <c r="I60" s="316"/>
      <c r="K60" s="43" t="s">
        <v>328</v>
      </c>
      <c r="L60" s="80" t="s">
        <v>317</v>
      </c>
      <c r="M60" s="80"/>
      <c r="O60" s="43" t="s">
        <v>329</v>
      </c>
      <c r="P60" s="80" t="s">
        <v>305</v>
      </c>
      <c r="Q60" s="80"/>
      <c r="S60" s="61"/>
      <c r="W60" s="64" t="s">
        <v>330</v>
      </c>
      <c r="AA60" s="43" t="s">
        <v>331</v>
      </c>
      <c r="AH60" s="40"/>
      <c r="AI60" s="40"/>
      <c r="AJ60" s="40"/>
      <c r="AK60" s="40"/>
    </row>
    <row r="61" spans="1:37" s="42" customFormat="1" ht="12" customHeight="1" thickBot="1">
      <c r="C61" s="64">
        <v>85013271</v>
      </c>
      <c r="D61" s="80" t="s">
        <v>317</v>
      </c>
      <c r="E61" s="80"/>
      <c r="K61" s="43" t="s">
        <v>332</v>
      </c>
      <c r="L61" s="80" t="s">
        <v>317</v>
      </c>
      <c r="M61" s="80"/>
      <c r="O61" s="48" t="s">
        <v>333</v>
      </c>
      <c r="S61" s="61"/>
      <c r="W61" s="64" t="s">
        <v>334</v>
      </c>
      <c r="AA61" s="43" t="s">
        <v>335</v>
      </c>
      <c r="AH61" s="40"/>
      <c r="AI61" s="40"/>
      <c r="AJ61" s="40"/>
      <c r="AK61" s="40"/>
    </row>
    <row r="62" spans="1:37" s="42" customFormat="1" ht="12" customHeight="1" thickTop="1" thickBot="1">
      <c r="C62" s="66" t="s">
        <v>336</v>
      </c>
      <c r="D62" s="80"/>
      <c r="E62" s="80"/>
      <c r="K62" s="43" t="s">
        <v>337</v>
      </c>
      <c r="L62" s="80" t="s">
        <v>317</v>
      </c>
      <c r="M62" s="80"/>
      <c r="S62" s="61"/>
      <c r="W62" s="64" t="s">
        <v>338</v>
      </c>
      <c r="AA62" s="43" t="s">
        <v>339</v>
      </c>
      <c r="AH62" s="40"/>
      <c r="AI62" s="40"/>
      <c r="AJ62" s="40"/>
      <c r="AK62" s="40"/>
    </row>
    <row r="63" spans="1:37" s="42" customFormat="1" ht="12" customHeight="1" thickTop="1" thickBot="1">
      <c r="C63" s="61"/>
      <c r="K63" s="43" t="s">
        <v>340</v>
      </c>
      <c r="L63" s="80" t="s">
        <v>317</v>
      </c>
      <c r="M63" s="80"/>
      <c r="S63" s="61"/>
      <c r="W63" s="66" t="s">
        <v>341</v>
      </c>
      <c r="AA63" s="43" t="s">
        <v>342</v>
      </c>
      <c r="AH63" s="40"/>
      <c r="AI63" s="40"/>
      <c r="AJ63" s="40"/>
      <c r="AK63" s="40"/>
    </row>
    <row r="64" spans="1:37" s="42" customFormat="1" ht="12" customHeight="1" thickTop="1">
      <c r="C64" s="61"/>
      <c r="K64" s="43" t="s">
        <v>343</v>
      </c>
      <c r="L64" s="80" t="s">
        <v>317</v>
      </c>
      <c r="M64" s="80"/>
      <c r="S64" s="61"/>
      <c r="W64" s="61"/>
      <c r="AA64" s="43" t="s">
        <v>344</v>
      </c>
      <c r="AH64" s="40"/>
      <c r="AI64" s="40"/>
      <c r="AJ64" s="40"/>
      <c r="AK64" s="40"/>
    </row>
    <row r="65" spans="3:37" s="42" customFormat="1" ht="12" customHeight="1">
      <c r="C65" s="61"/>
      <c r="K65" s="43" t="s">
        <v>345</v>
      </c>
      <c r="L65" s="80" t="s">
        <v>304</v>
      </c>
      <c r="M65" s="80"/>
      <c r="S65" s="61"/>
      <c r="W65" s="61"/>
      <c r="AA65" s="43" t="s">
        <v>346</v>
      </c>
      <c r="AH65" s="40"/>
      <c r="AI65" s="40"/>
      <c r="AJ65" s="40"/>
      <c r="AK65" s="40"/>
    </row>
    <row r="66" spans="3:37" s="42" customFormat="1" ht="12" customHeight="1">
      <c r="C66" s="61"/>
      <c r="K66" s="43" t="s">
        <v>347</v>
      </c>
      <c r="L66" s="80" t="s">
        <v>304</v>
      </c>
      <c r="M66" s="80"/>
      <c r="S66" s="61"/>
      <c r="W66" s="61"/>
      <c r="AA66" s="43" t="s">
        <v>348</v>
      </c>
      <c r="AH66" s="40"/>
      <c r="AI66" s="40"/>
      <c r="AJ66" s="40"/>
      <c r="AK66" s="40"/>
    </row>
    <row r="67" spans="3:37" s="42" customFormat="1" ht="12" customHeight="1">
      <c r="C67" s="61"/>
      <c r="K67" s="43" t="s">
        <v>349</v>
      </c>
      <c r="L67" s="80" t="s">
        <v>317</v>
      </c>
      <c r="M67" s="80"/>
      <c r="S67" s="61"/>
      <c r="W67" s="61"/>
      <c r="AA67" s="43" t="s">
        <v>350</v>
      </c>
      <c r="AH67" s="40"/>
      <c r="AI67" s="40"/>
      <c r="AJ67" s="40"/>
      <c r="AK67" s="40"/>
    </row>
    <row r="68" spans="3:37" s="42" customFormat="1" ht="12" customHeight="1">
      <c r="C68" s="61"/>
      <c r="K68" s="43" t="s">
        <v>351</v>
      </c>
      <c r="L68" s="80" t="s">
        <v>317</v>
      </c>
      <c r="M68" s="80"/>
      <c r="S68" s="61"/>
      <c r="W68" s="61"/>
      <c r="AA68" s="43" t="s">
        <v>352</v>
      </c>
      <c r="AH68" s="40"/>
      <c r="AI68" s="40"/>
      <c r="AJ68" s="40"/>
      <c r="AK68" s="40"/>
    </row>
    <row r="69" spans="3:37" s="42" customFormat="1" ht="12" customHeight="1">
      <c r="C69" s="61"/>
      <c r="K69" s="43" t="s">
        <v>353</v>
      </c>
      <c r="L69" s="80" t="s">
        <v>317</v>
      </c>
      <c r="M69" s="80"/>
      <c r="S69" s="61"/>
      <c r="W69" s="61"/>
      <c r="AA69" s="43" t="s">
        <v>354</v>
      </c>
      <c r="AH69" s="40"/>
      <c r="AI69" s="40"/>
      <c r="AJ69" s="40"/>
      <c r="AK69" s="40"/>
    </row>
    <row r="70" spans="3:37" s="42" customFormat="1" ht="12" customHeight="1">
      <c r="C70" s="61"/>
      <c r="K70" s="43" t="s">
        <v>355</v>
      </c>
      <c r="L70" s="80" t="s">
        <v>317</v>
      </c>
      <c r="M70" s="80"/>
      <c r="S70" s="61"/>
      <c r="W70" s="61"/>
      <c r="AA70" s="43" t="s">
        <v>356</v>
      </c>
      <c r="AH70" s="40"/>
      <c r="AI70" s="40"/>
      <c r="AJ70" s="40"/>
      <c r="AK70" s="40"/>
    </row>
    <row r="71" spans="3:37" s="42" customFormat="1" ht="12" customHeight="1">
      <c r="C71" s="61"/>
      <c r="K71" s="43" t="s">
        <v>357</v>
      </c>
      <c r="L71" s="80" t="s">
        <v>317</v>
      </c>
      <c r="M71" s="80"/>
      <c r="S71" s="61"/>
      <c r="W71" s="61"/>
      <c r="AA71" s="43" t="s">
        <v>358</v>
      </c>
      <c r="AH71" s="40"/>
      <c r="AI71" s="40"/>
      <c r="AJ71" s="40"/>
      <c r="AK71" s="40"/>
    </row>
    <row r="72" spans="3:37" s="42" customFormat="1" ht="12" customHeight="1">
      <c r="C72" s="61"/>
      <c r="K72" s="43" t="s">
        <v>359</v>
      </c>
      <c r="L72" s="80" t="s">
        <v>317</v>
      </c>
      <c r="M72" s="80"/>
      <c r="S72" s="61"/>
      <c r="W72" s="61"/>
      <c r="AA72" s="43" t="s">
        <v>360</v>
      </c>
      <c r="AH72" s="40"/>
      <c r="AI72" s="40"/>
      <c r="AJ72" s="40"/>
      <c r="AK72" s="40"/>
    </row>
    <row r="73" spans="3:37" s="42" customFormat="1" ht="12" customHeight="1" thickBot="1">
      <c r="C73" s="61"/>
      <c r="K73" s="43" t="s">
        <v>361</v>
      </c>
      <c r="L73" s="80" t="s">
        <v>317</v>
      </c>
      <c r="M73" s="80"/>
      <c r="S73" s="61"/>
      <c r="W73" s="61"/>
      <c r="AA73" s="48" t="s">
        <v>362</v>
      </c>
      <c r="AB73" s="62"/>
      <c r="AC73" s="62"/>
      <c r="AD73" s="62"/>
      <c r="AH73" s="40"/>
      <c r="AI73" s="40"/>
      <c r="AJ73" s="40"/>
      <c r="AK73" s="40"/>
    </row>
    <row r="74" spans="3:37" ht="12" customHeight="1" thickTop="1" thickBot="1">
      <c r="K74" s="48" t="s">
        <v>363</v>
      </c>
      <c r="L74" s="80"/>
      <c r="M74" s="80"/>
    </row>
    <row r="75" spans="3:37" ht="12" customHeight="1" thickTop="1"/>
    <row r="76" spans="3:37" ht="12" customHeight="1"/>
    <row r="77" spans="3:37" ht="12" customHeight="1"/>
    <row r="78" spans="3:37" ht="20.25">
      <c r="C78" s="943" t="s">
        <v>364</v>
      </c>
      <c r="D78" s="943"/>
      <c r="E78" s="943"/>
      <c r="F78" s="943"/>
      <c r="G78" s="943"/>
      <c r="H78" s="943"/>
      <c r="I78" s="943"/>
      <c r="J78" s="943"/>
      <c r="K78" s="943"/>
      <c r="L78" s="943"/>
      <c r="M78" s="943"/>
      <c r="N78" s="943"/>
      <c r="O78" s="943"/>
      <c r="P78" s="943"/>
      <c r="Q78" s="943"/>
      <c r="R78" s="943"/>
      <c r="S78" s="943"/>
      <c r="T78" s="943"/>
      <c r="U78" s="314"/>
      <c r="W78" s="944" t="s">
        <v>365</v>
      </c>
      <c r="X78" s="944"/>
      <c r="Y78" s="944"/>
      <c r="Z78" s="944"/>
      <c r="AA78" s="944"/>
      <c r="AB78" s="944"/>
      <c r="AC78" s="148"/>
      <c r="AD78" s="122"/>
    </row>
  </sheetData>
  <mergeCells count="11">
    <mergeCell ref="C53:AA53"/>
    <mergeCell ref="G59:H59"/>
    <mergeCell ref="G60:H60"/>
    <mergeCell ref="C78:T78"/>
    <mergeCell ref="W78:AB78"/>
    <mergeCell ref="A3:A5"/>
    <mergeCell ref="C3:I3"/>
    <mergeCell ref="K3:U3"/>
    <mergeCell ref="W3:AC3"/>
    <mergeCell ref="AH3:AK3"/>
    <mergeCell ref="W4:AB4"/>
  </mergeCells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D93-70C3-4E93-987B-1579C4155FEE}">
  <sheetPr codeName="Planilha11">
    <tabColor rgb="FFC00000"/>
  </sheetPr>
  <dimension ref="A1:AB41"/>
  <sheetViews>
    <sheetView showGridLines="0" zoomScale="80" zoomScaleNormal="80" workbookViewId="0">
      <pane ySplit="5" topLeftCell="A6" activePane="bottomLeft" state="frozen"/>
      <selection pane="bottomLeft" activeCell="Z34" sqref="Z34"/>
    </sheetView>
  </sheetViews>
  <sheetFormatPr defaultColWidth="9.5" defaultRowHeight="12" customHeight="1"/>
  <cols>
    <col min="1" max="1" width="2.5" style="83" customWidth="1"/>
    <col min="2" max="2" width="17" style="86" customWidth="1"/>
    <col min="3" max="3" width="5.5" style="86" customWidth="1"/>
    <col min="4" max="4" width="19.5" style="90" customWidth="1"/>
    <col min="5" max="5" width="1.5" style="86" customWidth="1"/>
    <col min="6" max="6" width="15.5" style="90" customWidth="1"/>
    <col min="7" max="7" width="8.5" style="86" customWidth="1"/>
    <col min="8" max="8" width="15.5" style="90" customWidth="1"/>
    <col min="9" max="9" width="16.5" style="129" customWidth="1"/>
    <col min="10" max="10" width="16.5" style="90" bestFit="1" customWidth="1"/>
    <col min="11" max="11" width="4.5" style="227" customWidth="1"/>
    <col min="12" max="12" width="18.5" style="90" customWidth="1"/>
    <col min="13" max="13" width="14.5" style="87" customWidth="1"/>
    <col min="14" max="14" width="4.5" style="227" customWidth="1"/>
    <col min="15" max="15" width="19" style="90" customWidth="1"/>
    <col min="16" max="16" width="15" style="83" customWidth="1"/>
    <col min="17" max="17" width="17.5" style="83" customWidth="1"/>
    <col min="18" max="18" width="4.5" style="83" customWidth="1"/>
    <col min="19" max="19" width="18.5" style="88" customWidth="1"/>
    <col min="20" max="20" width="15.5" style="88" customWidth="1"/>
    <col min="21" max="21" width="17.5" style="88" customWidth="1"/>
    <col min="22" max="22" width="3.5" style="83" customWidth="1"/>
    <col min="23" max="23" width="19.5" style="83" customWidth="1"/>
    <col min="24" max="24" width="29.5" style="83" customWidth="1"/>
    <col min="25" max="25" width="3.5" style="83" customWidth="1"/>
    <col min="26" max="26" width="31.5" style="83" bestFit="1" customWidth="1"/>
    <col min="27" max="27" width="1.5" style="83" customWidth="1"/>
    <col min="28" max="28" width="14.5" style="83" customWidth="1"/>
    <col min="29" max="16384" width="9.5" style="83"/>
  </cols>
  <sheetData>
    <row r="1" spans="2:28" ht="12" customHeight="1" thickBot="1"/>
    <row r="2" spans="2:28" s="85" customFormat="1" ht="49.5" customHeight="1" thickTop="1">
      <c r="B2" s="905" t="s">
        <v>169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905"/>
      <c r="Q2" s="905"/>
      <c r="R2" s="905"/>
      <c r="S2" s="905"/>
      <c r="T2" s="905"/>
      <c r="U2" s="905"/>
      <c r="V2" s="905"/>
      <c r="W2" s="905"/>
      <c r="X2" s="283"/>
      <c r="Z2" s="931" t="s">
        <v>239</v>
      </c>
      <c r="AA2" s="932"/>
      <c r="AB2" s="933"/>
    </row>
    <row r="3" spans="2:28" s="85" customFormat="1" ht="34.5" customHeight="1" thickBot="1">
      <c r="B3" s="229"/>
      <c r="C3" s="230"/>
      <c r="D3" s="233" t="s">
        <v>240</v>
      </c>
      <c r="E3" s="232"/>
      <c r="F3" s="233" t="s">
        <v>170</v>
      </c>
      <c r="G3" s="232"/>
      <c r="H3" s="976" t="s">
        <v>398</v>
      </c>
      <c r="I3" s="977"/>
      <c r="J3" s="978"/>
      <c r="K3" s="232"/>
      <c r="L3" s="906" t="s">
        <v>165</v>
      </c>
      <c r="M3" s="937"/>
      <c r="N3" s="232"/>
      <c r="O3" s="232"/>
      <c r="P3" s="917" t="s">
        <v>399</v>
      </c>
      <c r="Q3" s="917"/>
      <c r="R3" s="232"/>
      <c r="S3" s="917" t="s">
        <v>400</v>
      </c>
      <c r="T3" s="917"/>
      <c r="U3" s="917"/>
      <c r="Z3" s="934"/>
      <c r="AA3" s="935"/>
      <c r="AB3" s="936"/>
    </row>
    <row r="4" spans="2:28" s="42" customFormat="1" ht="17.25" thickTop="1" thickBot="1">
      <c r="B4" s="124"/>
      <c r="C4" s="125"/>
      <c r="D4" s="235" t="s">
        <v>401</v>
      </c>
      <c r="E4" s="228"/>
      <c r="F4" s="247" t="s">
        <v>181</v>
      </c>
      <c r="G4" s="228"/>
      <c r="H4" s="249" t="s">
        <v>181</v>
      </c>
      <c r="I4" s="235" t="s">
        <v>401</v>
      </c>
      <c r="J4" s="249" t="s">
        <v>181</v>
      </c>
      <c r="K4" s="47"/>
      <c r="L4" s="249" t="s">
        <v>181</v>
      </c>
      <c r="M4" s="238" t="s">
        <v>401</v>
      </c>
      <c r="N4" s="47"/>
      <c r="O4" s="235" t="s">
        <v>401</v>
      </c>
      <c r="P4" s="249" t="s">
        <v>181</v>
      </c>
      <c r="Q4" s="281" t="s">
        <v>401</v>
      </c>
      <c r="S4" s="240" t="s">
        <v>401</v>
      </c>
      <c r="T4" s="235" t="s">
        <v>401</v>
      </c>
      <c r="U4" s="240" t="s">
        <v>401</v>
      </c>
      <c r="W4" s="240" t="s">
        <v>401</v>
      </c>
      <c r="X4" s="249" t="s">
        <v>181</v>
      </c>
      <c r="Z4" s="934"/>
      <c r="AA4" s="935"/>
      <c r="AB4" s="936"/>
    </row>
    <row r="5" spans="2:28" s="85" customFormat="1" ht="33" thickTop="1" thickBot="1">
      <c r="B5" s="138" t="s">
        <v>186</v>
      </c>
      <c r="C5" s="136"/>
      <c r="D5" s="236" t="s">
        <v>192</v>
      </c>
      <c r="E5" s="136"/>
      <c r="F5" s="248" t="s">
        <v>402</v>
      </c>
      <c r="G5" s="136"/>
      <c r="H5" s="248" t="s">
        <v>193</v>
      </c>
      <c r="I5" s="237" t="s">
        <v>42</v>
      </c>
      <c r="J5" s="248" t="s">
        <v>194</v>
      </c>
      <c r="K5" s="234"/>
      <c r="L5" s="248" t="s">
        <v>165</v>
      </c>
      <c r="M5" s="239" t="s">
        <v>42</v>
      </c>
      <c r="N5" s="234"/>
      <c r="O5" s="236" t="s">
        <v>403</v>
      </c>
      <c r="P5" s="248" t="s">
        <v>404</v>
      </c>
      <c r="Q5" s="239" t="s">
        <v>405</v>
      </c>
      <c r="R5" s="228"/>
      <c r="S5" s="239" t="s">
        <v>195</v>
      </c>
      <c r="T5" s="239" t="s">
        <v>196</v>
      </c>
      <c r="U5" s="239" t="s">
        <v>184</v>
      </c>
      <c r="W5" s="239" t="s">
        <v>185</v>
      </c>
      <c r="X5" s="248" t="s">
        <v>404</v>
      </c>
      <c r="Z5" s="934"/>
      <c r="AA5" s="935"/>
      <c r="AB5" s="936"/>
    </row>
    <row r="6" spans="2:28" s="85" customFormat="1" ht="21.75" thickTop="1" thickBot="1">
      <c r="B6" s="228"/>
      <c r="C6" s="136"/>
      <c r="D6" s="222"/>
      <c r="E6" s="136"/>
      <c r="F6" s="222"/>
      <c r="G6" s="136"/>
      <c r="H6" s="96"/>
      <c r="I6" s="254"/>
      <c r="J6" s="96"/>
      <c r="K6" s="234"/>
      <c r="L6" s="96"/>
      <c r="M6" s="112"/>
      <c r="N6" s="234"/>
      <c r="O6" s="223"/>
      <c r="P6" s="96"/>
      <c r="Q6" s="96"/>
      <c r="R6" s="228"/>
      <c r="S6" s="112"/>
      <c r="T6" s="112"/>
      <c r="U6" s="112"/>
      <c r="W6" s="112"/>
      <c r="X6" s="42"/>
      <c r="Z6" s="122"/>
      <c r="AA6" s="122"/>
      <c r="AB6" s="122"/>
    </row>
    <row r="7" spans="2:28" s="85" customFormat="1" ht="15" customHeight="1" thickTop="1" thickBot="1">
      <c r="B7" s="241">
        <v>46083</v>
      </c>
      <c r="C7" s="246"/>
      <c r="D7" s="242">
        <v>1800</v>
      </c>
      <c r="E7" s="110"/>
      <c r="F7" s="250">
        <v>0.6875</v>
      </c>
      <c r="G7" s="110"/>
      <c r="H7" s="257">
        <v>52</v>
      </c>
      <c r="I7" s="244">
        <f t="shared" ref="I7:I18" si="0">H7/D7</f>
        <v>2.8888888888888888E-2</v>
      </c>
      <c r="J7" s="259">
        <v>47103.53</v>
      </c>
      <c r="K7" s="111"/>
      <c r="L7" s="243">
        <v>52</v>
      </c>
      <c r="M7" s="245">
        <f t="shared" ref="M7:M18" si="1">L7/H7</f>
        <v>1</v>
      </c>
      <c r="N7" s="111"/>
      <c r="O7" s="262">
        <f>H7/AB$12</f>
        <v>0.4622222222222222</v>
      </c>
      <c r="P7" s="280">
        <v>15</v>
      </c>
      <c r="Q7" s="262">
        <f>P7-O7</f>
        <v>14.537777777777778</v>
      </c>
      <c r="R7" s="111"/>
      <c r="S7" s="132">
        <f>O7*AB$14</f>
        <v>3.7393777777777775</v>
      </c>
      <c r="T7" s="132">
        <f t="shared" ref="T7:T18" si="2">P7*AB$14</f>
        <v>121.35</v>
      </c>
      <c r="U7" s="133">
        <f t="shared" ref="U7:U18" si="3">T7-S7</f>
        <v>117.61062222222222</v>
      </c>
      <c r="W7" s="133">
        <f t="shared" ref="W7:W20" si="4">P7*1.5</f>
        <v>22.5</v>
      </c>
      <c r="X7" s="289"/>
    </row>
    <row r="8" spans="2:28" s="40" customFormat="1" ht="15" customHeight="1" thickTop="1">
      <c r="B8" s="109">
        <v>46084</v>
      </c>
      <c r="C8" s="110"/>
      <c r="D8" s="130">
        <v>1800</v>
      </c>
      <c r="E8" s="110"/>
      <c r="F8" s="251">
        <v>0.64583333333333337</v>
      </c>
      <c r="G8" s="110"/>
      <c r="H8" s="258">
        <v>1236</v>
      </c>
      <c r="I8" s="139">
        <f t="shared" si="0"/>
        <v>0.68666666666666665</v>
      </c>
      <c r="J8" s="260">
        <v>1322916.3799999999</v>
      </c>
      <c r="K8" s="111"/>
      <c r="L8" s="140">
        <v>1236</v>
      </c>
      <c r="M8" s="231">
        <f t="shared" si="1"/>
        <v>1</v>
      </c>
      <c r="N8" s="111"/>
      <c r="O8" s="262">
        <f>H8/AB$12</f>
        <v>10.986666666666666</v>
      </c>
      <c r="P8" s="263">
        <v>15</v>
      </c>
      <c r="Q8" s="262">
        <f>P8-O8</f>
        <v>4.0133333333333336</v>
      </c>
      <c r="R8" s="111"/>
      <c r="S8" s="132">
        <f>O8*AB$14</f>
        <v>88.882133333333329</v>
      </c>
      <c r="T8" s="132">
        <f t="shared" si="2"/>
        <v>121.35</v>
      </c>
      <c r="U8" s="133">
        <f t="shared" si="3"/>
        <v>32.467866666666666</v>
      </c>
      <c r="W8" s="133">
        <f t="shared" si="4"/>
        <v>22.5</v>
      </c>
      <c r="X8" s="289"/>
      <c r="Z8" s="97" t="s">
        <v>248</v>
      </c>
      <c r="AA8" s="104"/>
      <c r="AB8" s="105">
        <v>16</v>
      </c>
    </row>
    <row r="9" spans="2:28" s="40" customFormat="1" ht="15" customHeight="1">
      <c r="B9" s="109">
        <v>46085</v>
      </c>
      <c r="C9" s="110"/>
      <c r="D9" s="130">
        <v>1800</v>
      </c>
      <c r="E9" s="110"/>
      <c r="F9" s="251">
        <v>0.64583333333333337</v>
      </c>
      <c r="G9" s="110"/>
      <c r="H9" s="258">
        <v>1103</v>
      </c>
      <c r="I9" s="139">
        <f t="shared" si="0"/>
        <v>0.61277777777777775</v>
      </c>
      <c r="J9" s="260">
        <v>1368788.9</v>
      </c>
      <c r="K9" s="111"/>
      <c r="L9" s="140">
        <v>1103</v>
      </c>
      <c r="M9" s="231">
        <f t="shared" si="1"/>
        <v>1</v>
      </c>
      <c r="N9" s="111"/>
      <c r="O9" s="262">
        <f>H9/AB$12</f>
        <v>9.8044444444444441</v>
      </c>
      <c r="P9" s="263">
        <v>14</v>
      </c>
      <c r="Q9" s="262">
        <f>P9-O9</f>
        <v>4.1955555555555559</v>
      </c>
      <c r="R9" s="112"/>
      <c r="S9" s="132">
        <f>O9*AB$14</f>
        <v>79.317955555555557</v>
      </c>
      <c r="T9" s="132">
        <f t="shared" si="2"/>
        <v>113.25999999999999</v>
      </c>
      <c r="U9" s="133">
        <f t="shared" si="3"/>
        <v>33.942044444444434</v>
      </c>
      <c r="W9" s="133">
        <f t="shared" si="4"/>
        <v>21</v>
      </c>
      <c r="X9" s="289"/>
      <c r="Z9" s="92"/>
      <c r="AA9" s="102"/>
      <c r="AB9" s="100"/>
    </row>
    <row r="10" spans="2:28" ht="15" customHeight="1">
      <c r="B10" s="109">
        <v>46086</v>
      </c>
      <c r="C10" s="110"/>
      <c r="D10" s="130">
        <v>1800</v>
      </c>
      <c r="E10" s="110"/>
      <c r="F10" s="251">
        <v>0.64583333333333337</v>
      </c>
      <c r="G10" s="110"/>
      <c r="H10" s="258">
        <v>1361</v>
      </c>
      <c r="I10" s="139">
        <f t="shared" si="0"/>
        <v>0.75611111111111107</v>
      </c>
      <c r="J10" s="260">
        <v>1290603.02</v>
      </c>
      <c r="K10" s="111"/>
      <c r="L10" s="140">
        <v>1361</v>
      </c>
      <c r="M10" s="231">
        <f t="shared" si="1"/>
        <v>1</v>
      </c>
      <c r="N10" s="111"/>
      <c r="O10" s="262">
        <f>H10/AB$12</f>
        <v>12.097777777777777</v>
      </c>
      <c r="P10" s="263">
        <v>13</v>
      </c>
      <c r="Q10" s="262">
        <f>P10-O10</f>
        <v>0.90222222222222292</v>
      </c>
      <c r="R10" s="112"/>
      <c r="S10" s="132">
        <f>O10*AB$14</f>
        <v>97.871022222222209</v>
      </c>
      <c r="T10" s="132">
        <f t="shared" si="2"/>
        <v>105.17</v>
      </c>
      <c r="U10" s="133">
        <f t="shared" si="3"/>
        <v>7.2989777777777931</v>
      </c>
      <c r="W10" s="133">
        <f t="shared" si="4"/>
        <v>19.5</v>
      </c>
      <c r="X10" s="289"/>
      <c r="Z10" s="98" t="s">
        <v>249</v>
      </c>
      <c r="AA10" s="104"/>
      <c r="AB10" s="46">
        <v>1800</v>
      </c>
    </row>
    <row r="11" spans="2:28" ht="15" customHeight="1">
      <c r="B11" s="109">
        <v>46087</v>
      </c>
      <c r="C11" s="110"/>
      <c r="D11" s="130">
        <v>1800</v>
      </c>
      <c r="E11" s="110"/>
      <c r="F11" s="251">
        <v>0.64583333333333337</v>
      </c>
      <c r="G11" s="110"/>
      <c r="H11" s="258">
        <v>1165</v>
      </c>
      <c r="I11" s="139">
        <f t="shared" si="0"/>
        <v>0.64722222222222225</v>
      </c>
      <c r="J11" s="260">
        <v>1202793.47</v>
      </c>
      <c r="K11" s="111"/>
      <c r="L11" s="140">
        <v>1165</v>
      </c>
      <c r="M11" s="231">
        <f t="shared" si="1"/>
        <v>1</v>
      </c>
      <c r="N11" s="111"/>
      <c r="O11" s="262">
        <f>H11/AB$12</f>
        <v>10.355555555555556</v>
      </c>
      <c r="P11" s="263">
        <v>12</v>
      </c>
      <c r="Q11" s="262">
        <f>P11-O11</f>
        <v>1.6444444444444439</v>
      </c>
      <c r="R11" s="112"/>
      <c r="S11" s="132">
        <f>O11*AB$14</f>
        <v>83.776444444444451</v>
      </c>
      <c r="T11" s="132">
        <f t="shared" si="2"/>
        <v>97.08</v>
      </c>
      <c r="U11" s="133">
        <f t="shared" si="3"/>
        <v>13.303555555555548</v>
      </c>
      <c r="W11" s="133">
        <f t="shared" si="4"/>
        <v>18</v>
      </c>
      <c r="X11" s="289"/>
      <c r="Z11" s="92"/>
      <c r="AA11" s="102"/>
      <c r="AB11" s="100"/>
    </row>
    <row r="12" spans="2:28" ht="15" customHeight="1">
      <c r="B12" s="94">
        <v>46088</v>
      </c>
      <c r="C12" s="93"/>
      <c r="D12" s="95"/>
      <c r="E12" s="93"/>
      <c r="F12" s="252"/>
      <c r="G12" s="93"/>
      <c r="H12" s="274">
        <v>0</v>
      </c>
      <c r="I12" s="276">
        <v>0</v>
      </c>
      <c r="J12" s="275">
        <v>0</v>
      </c>
      <c r="K12" s="111"/>
      <c r="L12" s="277">
        <v>0</v>
      </c>
      <c r="M12" s="279">
        <v>0</v>
      </c>
      <c r="N12" s="111"/>
      <c r="O12" s="264">
        <v>0</v>
      </c>
      <c r="P12" s="266">
        <v>0</v>
      </c>
      <c r="Q12" s="264">
        <v>0</v>
      </c>
      <c r="R12" s="96"/>
      <c r="S12" s="267">
        <v>0</v>
      </c>
      <c r="T12" s="267">
        <f t="shared" si="2"/>
        <v>0</v>
      </c>
      <c r="U12" s="268">
        <f t="shared" si="3"/>
        <v>0</v>
      </c>
      <c r="W12" s="135">
        <v>0</v>
      </c>
      <c r="X12" s="290"/>
      <c r="Z12" s="98" t="s">
        <v>250</v>
      </c>
      <c r="AA12" s="104"/>
      <c r="AB12" s="46">
        <f>AB10/AB8</f>
        <v>112.5</v>
      </c>
    </row>
    <row r="13" spans="2:28" ht="15" customHeight="1">
      <c r="B13" s="94">
        <v>46089</v>
      </c>
      <c r="C13" s="93"/>
      <c r="D13" s="95"/>
      <c r="E13" s="93"/>
      <c r="F13" s="252"/>
      <c r="G13" s="93"/>
      <c r="H13" s="274">
        <v>0</v>
      </c>
      <c r="I13" s="276">
        <v>0</v>
      </c>
      <c r="J13" s="275">
        <v>0</v>
      </c>
      <c r="K13" s="111"/>
      <c r="L13" s="277">
        <v>0</v>
      </c>
      <c r="M13" s="279">
        <v>0</v>
      </c>
      <c r="N13" s="111"/>
      <c r="O13" s="273">
        <v>0</v>
      </c>
      <c r="P13" s="266">
        <v>0</v>
      </c>
      <c r="Q13" s="273">
        <v>0</v>
      </c>
      <c r="R13" s="96"/>
      <c r="S13" s="269">
        <v>0</v>
      </c>
      <c r="T13" s="269">
        <f t="shared" si="2"/>
        <v>0</v>
      </c>
      <c r="U13" s="270">
        <f t="shared" si="3"/>
        <v>0</v>
      </c>
      <c r="W13" s="135">
        <v>0</v>
      </c>
      <c r="X13" s="290"/>
      <c r="Z13" s="108"/>
      <c r="AA13" s="103"/>
      <c r="AB13" s="101"/>
    </row>
    <row r="14" spans="2:28" ht="15" customHeight="1">
      <c r="B14" s="109">
        <v>46090</v>
      </c>
      <c r="C14" s="110"/>
      <c r="D14" s="137">
        <v>1800</v>
      </c>
      <c r="E14" s="110"/>
      <c r="F14" s="251">
        <v>0.64583333333333337</v>
      </c>
      <c r="G14" s="110"/>
      <c r="H14" s="258">
        <v>1346</v>
      </c>
      <c r="I14" s="139">
        <f t="shared" si="0"/>
        <v>0.74777777777777776</v>
      </c>
      <c r="J14" s="260">
        <v>991172.68</v>
      </c>
      <c r="K14" s="111"/>
      <c r="L14" s="140">
        <v>1346</v>
      </c>
      <c r="M14" s="231">
        <f t="shared" si="1"/>
        <v>1</v>
      </c>
      <c r="N14" s="111"/>
      <c r="O14" s="262">
        <f>H14/AB$12</f>
        <v>11.964444444444444</v>
      </c>
      <c r="P14" s="263">
        <v>15</v>
      </c>
      <c r="Q14" s="262">
        <f>P14-O14</f>
        <v>3.0355555555555558</v>
      </c>
      <c r="R14" s="112"/>
      <c r="S14" s="132">
        <f>O14*AB$14</f>
        <v>96.792355555555545</v>
      </c>
      <c r="T14" s="132">
        <f t="shared" si="2"/>
        <v>121.35</v>
      </c>
      <c r="U14" s="133">
        <f t="shared" si="3"/>
        <v>24.557644444444449</v>
      </c>
      <c r="W14" s="133">
        <f t="shared" si="4"/>
        <v>22.5</v>
      </c>
      <c r="X14" s="289"/>
      <c r="Z14" s="98" t="s">
        <v>251</v>
      </c>
      <c r="AA14" s="104"/>
      <c r="AB14" s="106">
        <v>8.09</v>
      </c>
    </row>
    <row r="15" spans="2:28" ht="15" customHeight="1">
      <c r="B15" s="109">
        <v>46091</v>
      </c>
      <c r="C15" s="110"/>
      <c r="D15" s="137">
        <v>1800</v>
      </c>
      <c r="E15" s="110"/>
      <c r="F15" s="251">
        <v>0.64583333333333337</v>
      </c>
      <c r="G15" s="110"/>
      <c r="H15" s="258">
        <v>891</v>
      </c>
      <c r="I15" s="139">
        <f t="shared" si="0"/>
        <v>0.495</v>
      </c>
      <c r="J15" s="260">
        <v>1150633.42</v>
      </c>
      <c r="K15" s="111"/>
      <c r="L15" s="140">
        <v>891</v>
      </c>
      <c r="M15" s="231">
        <f t="shared" si="1"/>
        <v>1</v>
      </c>
      <c r="N15" s="111"/>
      <c r="O15" s="262">
        <f>H15/AB$12</f>
        <v>7.92</v>
      </c>
      <c r="P15" s="263">
        <v>15</v>
      </c>
      <c r="Q15" s="262">
        <f>P15-O15</f>
        <v>7.08</v>
      </c>
      <c r="R15" s="112"/>
      <c r="S15" s="132">
        <f>O15*AB$14</f>
        <v>64.072800000000001</v>
      </c>
      <c r="T15" s="132">
        <f t="shared" si="2"/>
        <v>121.35</v>
      </c>
      <c r="U15" s="133">
        <f t="shared" si="3"/>
        <v>57.277199999999993</v>
      </c>
      <c r="W15" s="133">
        <f t="shared" si="4"/>
        <v>22.5</v>
      </c>
      <c r="X15" s="289"/>
      <c r="Z15" s="108"/>
      <c r="AA15" s="103"/>
      <c r="AB15" s="101"/>
    </row>
    <row r="16" spans="2:28" s="89" customFormat="1" ht="15" customHeight="1" thickBot="1">
      <c r="B16" s="109">
        <v>46092</v>
      </c>
      <c r="C16" s="110"/>
      <c r="D16" s="137">
        <v>1800</v>
      </c>
      <c r="E16" s="110"/>
      <c r="F16" s="251">
        <v>0.64583333333333337</v>
      </c>
      <c r="G16" s="110"/>
      <c r="H16" s="258">
        <v>1394</v>
      </c>
      <c r="I16" s="139">
        <f t="shared" si="0"/>
        <v>0.77444444444444449</v>
      </c>
      <c r="J16" s="260">
        <v>1470827.56</v>
      </c>
      <c r="K16" s="111"/>
      <c r="L16" s="140">
        <v>1394</v>
      </c>
      <c r="M16" s="231">
        <f t="shared" si="1"/>
        <v>1</v>
      </c>
      <c r="N16" s="111"/>
      <c r="O16" s="262">
        <f>H16/AB$12</f>
        <v>12.391111111111112</v>
      </c>
      <c r="P16" s="263">
        <v>15</v>
      </c>
      <c r="Q16" s="262">
        <f>P16-O16</f>
        <v>2.6088888888888881</v>
      </c>
      <c r="R16" s="112"/>
      <c r="S16" s="132">
        <f>O16*AB$14</f>
        <v>100.2440888888889</v>
      </c>
      <c r="T16" s="132">
        <f t="shared" si="2"/>
        <v>121.35</v>
      </c>
      <c r="U16" s="133">
        <f t="shared" si="3"/>
        <v>21.105911111111098</v>
      </c>
      <c r="W16" s="133">
        <f t="shared" si="4"/>
        <v>22.5</v>
      </c>
      <c r="X16" s="289"/>
      <c r="Z16" s="99" t="s">
        <v>252</v>
      </c>
      <c r="AA16" s="104"/>
      <c r="AB16" s="107">
        <f>AB14*AB8</f>
        <v>129.44</v>
      </c>
    </row>
    <row r="17" spans="1:28" s="89" customFormat="1" ht="15" customHeight="1" thickTop="1">
      <c r="B17" s="109">
        <v>46093</v>
      </c>
      <c r="C17" s="110"/>
      <c r="D17" s="137">
        <v>1800</v>
      </c>
      <c r="E17" s="110"/>
      <c r="F17" s="251">
        <v>0.64583333333333337</v>
      </c>
      <c r="G17" s="110"/>
      <c r="H17" s="258">
        <v>1719</v>
      </c>
      <c r="I17" s="139">
        <f t="shared" si="0"/>
        <v>0.95499999999999996</v>
      </c>
      <c r="J17" s="260">
        <v>1210928.0900000001</v>
      </c>
      <c r="K17" s="111"/>
      <c r="L17" s="140">
        <v>1719</v>
      </c>
      <c r="M17" s="231">
        <f t="shared" si="1"/>
        <v>1</v>
      </c>
      <c r="N17" s="111"/>
      <c r="O17" s="262">
        <f>H17/AB$12</f>
        <v>15.28</v>
      </c>
      <c r="P17" s="263">
        <v>15</v>
      </c>
      <c r="Q17" s="262">
        <f>P17-O17</f>
        <v>-0.27999999999999936</v>
      </c>
      <c r="R17" s="112"/>
      <c r="S17" s="132">
        <f>O17*AB$14</f>
        <v>123.61519999999999</v>
      </c>
      <c r="T17" s="132">
        <f t="shared" si="2"/>
        <v>121.35</v>
      </c>
      <c r="U17" s="133">
        <f t="shared" si="3"/>
        <v>-2.265199999999993</v>
      </c>
      <c r="W17" s="133">
        <f t="shared" si="4"/>
        <v>22.5</v>
      </c>
      <c r="X17" s="289"/>
      <c r="Z17" s="83"/>
      <c r="AA17" s="83"/>
      <c r="AB17" s="83"/>
    </row>
    <row r="18" spans="1:28" ht="15" customHeight="1">
      <c r="B18" s="109">
        <v>46094</v>
      </c>
      <c r="C18" s="110"/>
      <c r="D18" s="137">
        <v>1800</v>
      </c>
      <c r="E18" s="110"/>
      <c r="F18" s="251">
        <v>0.64583333333333337</v>
      </c>
      <c r="G18" s="110"/>
      <c r="H18" s="258">
        <v>1541</v>
      </c>
      <c r="I18" s="139">
        <f t="shared" si="0"/>
        <v>0.85611111111111116</v>
      </c>
      <c r="J18" s="260">
        <v>1923852.69</v>
      </c>
      <c r="K18" s="111"/>
      <c r="L18" s="258">
        <v>1541</v>
      </c>
      <c r="M18" s="231">
        <f t="shared" si="1"/>
        <v>1</v>
      </c>
      <c r="N18" s="111"/>
      <c r="O18" s="262">
        <f>H18/AB$12</f>
        <v>13.697777777777778</v>
      </c>
      <c r="P18" s="263">
        <v>15</v>
      </c>
      <c r="Q18" s="262">
        <f>P18-O18</f>
        <v>1.3022222222222215</v>
      </c>
      <c r="R18" s="112"/>
      <c r="S18" s="132">
        <f>O18*AB$14</f>
        <v>110.81502222222223</v>
      </c>
      <c r="T18" s="132">
        <f t="shared" si="2"/>
        <v>121.35</v>
      </c>
      <c r="U18" s="133">
        <f t="shared" si="3"/>
        <v>10.534977777777769</v>
      </c>
      <c r="W18" s="133">
        <f t="shared" si="4"/>
        <v>22.5</v>
      </c>
      <c r="X18" s="289"/>
      <c r="Z18" s="85"/>
      <c r="AA18" s="85"/>
      <c r="AB18" s="85"/>
    </row>
    <row r="19" spans="1:28" ht="15" customHeight="1">
      <c r="B19" s="94">
        <v>46095</v>
      </c>
      <c r="C19" s="93"/>
      <c r="D19" s="95"/>
      <c r="E19" s="93"/>
      <c r="F19" s="252"/>
      <c r="G19" s="93"/>
      <c r="H19" s="274">
        <v>0</v>
      </c>
      <c r="I19" s="276">
        <v>0</v>
      </c>
      <c r="J19" s="275">
        <v>0</v>
      </c>
      <c r="K19" s="224"/>
      <c r="L19" s="277">
        <v>0</v>
      </c>
      <c r="M19" s="278">
        <v>0</v>
      </c>
      <c r="N19" s="224"/>
      <c r="O19" s="264">
        <v>0</v>
      </c>
      <c r="P19" s="266">
        <v>0</v>
      </c>
      <c r="Q19" s="264">
        <v>0</v>
      </c>
      <c r="R19" s="96"/>
      <c r="S19" s="134">
        <v>0</v>
      </c>
      <c r="T19" s="134">
        <v>0</v>
      </c>
      <c r="U19" s="135">
        <v>0</v>
      </c>
      <c r="W19" s="135">
        <f t="shared" si="4"/>
        <v>0</v>
      </c>
      <c r="X19" s="290"/>
      <c r="Z19" s="85"/>
      <c r="AA19" s="85"/>
      <c r="AB19" s="85"/>
    </row>
    <row r="20" spans="1:28" ht="15" customHeight="1" thickBot="1">
      <c r="B20" s="94">
        <v>46096</v>
      </c>
      <c r="C20" s="93"/>
      <c r="D20" s="95"/>
      <c r="E20" s="93"/>
      <c r="F20" s="252"/>
      <c r="G20" s="93"/>
      <c r="H20" s="274">
        <v>0</v>
      </c>
      <c r="I20" s="276">
        <v>0</v>
      </c>
      <c r="J20" s="275">
        <v>0</v>
      </c>
      <c r="K20" s="224"/>
      <c r="L20" s="277">
        <v>0</v>
      </c>
      <c r="M20" s="278">
        <v>0</v>
      </c>
      <c r="N20" s="224"/>
      <c r="O20" s="266">
        <v>0</v>
      </c>
      <c r="P20" s="266">
        <v>0</v>
      </c>
      <c r="Q20" s="265">
        <v>0</v>
      </c>
      <c r="R20" s="96"/>
      <c r="S20" s="134">
        <v>0</v>
      </c>
      <c r="T20" s="134">
        <v>0</v>
      </c>
      <c r="U20" s="135">
        <v>0</v>
      </c>
      <c r="W20" s="135">
        <f t="shared" si="4"/>
        <v>0</v>
      </c>
      <c r="X20" s="290"/>
      <c r="AA20" s="85"/>
      <c r="AB20" s="85"/>
    </row>
    <row r="21" spans="1:28" ht="15" customHeight="1" thickTop="1">
      <c r="B21" s="109">
        <v>46097</v>
      </c>
      <c r="C21" s="110"/>
      <c r="D21" s="137">
        <v>1800</v>
      </c>
      <c r="E21" s="110"/>
      <c r="F21" s="251">
        <v>0.64583333333333337</v>
      </c>
      <c r="G21" s="110"/>
      <c r="H21" s="258">
        <v>900</v>
      </c>
      <c r="I21" s="139">
        <f t="shared" ref="I21:I23" si="5">H21/D21</f>
        <v>0.5</v>
      </c>
      <c r="J21" s="260">
        <v>883668.13</v>
      </c>
      <c r="K21" s="111"/>
      <c r="L21" s="258">
        <v>1245</v>
      </c>
      <c r="M21" s="231">
        <f t="shared" ref="M21" si="6">L21/H21</f>
        <v>1.3833333333333333</v>
      </c>
      <c r="N21" s="111"/>
      <c r="O21" s="261">
        <f>H21/AB$12</f>
        <v>8</v>
      </c>
      <c r="P21" s="263">
        <v>16</v>
      </c>
      <c r="Q21" s="262">
        <f>P21-O21</f>
        <v>8</v>
      </c>
      <c r="R21" s="112"/>
      <c r="S21" s="132">
        <f>O21*AB$14</f>
        <v>64.72</v>
      </c>
      <c r="T21" s="132">
        <f>P21*AB$14</f>
        <v>129.44</v>
      </c>
      <c r="U21" s="133">
        <f t="shared" ref="U21" si="7">T21-S21</f>
        <v>64.72</v>
      </c>
      <c r="W21" s="133">
        <f t="shared" ref="W21" si="8">P21*1.5</f>
        <v>24</v>
      </c>
      <c r="X21" s="289"/>
      <c r="Z21" s="968" t="s">
        <v>255</v>
      </c>
      <c r="AA21" s="969"/>
      <c r="AB21" s="970"/>
    </row>
    <row r="22" spans="1:28" ht="15" customHeight="1">
      <c r="B22" s="109">
        <v>46098</v>
      </c>
      <c r="C22" s="110"/>
      <c r="D22" s="137">
        <v>1800</v>
      </c>
      <c r="E22" s="110"/>
      <c r="F22" s="253">
        <v>0.41666666666666669</v>
      </c>
      <c r="G22" s="110"/>
      <c r="H22" s="258">
        <v>800</v>
      </c>
      <c r="I22" s="139">
        <f t="shared" si="5"/>
        <v>0.44444444444444442</v>
      </c>
      <c r="J22" s="260">
        <v>1190443.72</v>
      </c>
      <c r="K22" s="111"/>
      <c r="L22" s="140">
        <v>971</v>
      </c>
      <c r="M22" s="231">
        <f>L22/H22</f>
        <v>1.2137500000000001</v>
      </c>
      <c r="N22" s="111"/>
      <c r="O22" s="262">
        <f>H22/AB$12</f>
        <v>7.1111111111111107</v>
      </c>
      <c r="P22" s="263">
        <v>15</v>
      </c>
      <c r="Q22" s="262">
        <f t="shared" ref="Q22:Q23" si="9">P22-O22</f>
        <v>7.8888888888888893</v>
      </c>
      <c r="R22" s="112"/>
      <c r="S22" s="132">
        <f t="shared" ref="S22:S23" si="10">O22*AB$14</f>
        <v>57.528888888888886</v>
      </c>
      <c r="T22" s="132">
        <f t="shared" ref="T22:T23" si="11">P22*AB$14</f>
        <v>121.35</v>
      </c>
      <c r="U22" s="133">
        <f t="shared" ref="U22:U23" si="12">T22-S22</f>
        <v>63.821111111111108</v>
      </c>
      <c r="W22" s="133">
        <f t="shared" ref="W22:W23" si="13">P22*1.5</f>
        <v>22.5</v>
      </c>
      <c r="X22" s="289"/>
      <c r="Z22" s="971" t="s">
        <v>256</v>
      </c>
      <c r="AA22" s="972"/>
      <c r="AB22" s="973"/>
    </row>
    <row r="23" spans="1:28" s="89" customFormat="1" ht="18.75" customHeight="1">
      <c r="A23" s="89">
        <v>1800</v>
      </c>
      <c r="B23" s="109">
        <v>46099</v>
      </c>
      <c r="C23" s="110"/>
      <c r="D23" s="137">
        <v>1800</v>
      </c>
      <c r="E23" s="110"/>
      <c r="F23" s="253">
        <v>0.41666666666666669</v>
      </c>
      <c r="G23" s="110"/>
      <c r="H23" s="258">
        <v>2160</v>
      </c>
      <c r="I23" s="139">
        <f t="shared" si="5"/>
        <v>1.2</v>
      </c>
      <c r="J23" s="260">
        <v>4312955.59</v>
      </c>
      <c r="K23" s="111"/>
      <c r="L23" s="140">
        <v>2231</v>
      </c>
      <c r="M23" s="231">
        <f>L23/H23</f>
        <v>1.0328703703703703</v>
      </c>
      <c r="N23" s="111"/>
      <c r="O23" s="262">
        <f>H23/AB$12</f>
        <v>19.2</v>
      </c>
      <c r="P23" s="263">
        <v>18</v>
      </c>
      <c r="Q23" s="262">
        <f t="shared" si="9"/>
        <v>-1.1999999999999993</v>
      </c>
      <c r="R23" s="112"/>
      <c r="S23" s="132">
        <f t="shared" si="10"/>
        <v>155.328</v>
      </c>
      <c r="T23" s="132">
        <f t="shared" si="11"/>
        <v>145.62</v>
      </c>
      <c r="U23" s="133">
        <f t="shared" si="12"/>
        <v>-9.7079999999999984</v>
      </c>
      <c r="V23" s="83"/>
      <c r="W23" s="133">
        <f t="shared" si="13"/>
        <v>27</v>
      </c>
      <c r="X23" s="291" t="s">
        <v>406</v>
      </c>
      <c r="Z23" s="971" t="s">
        <v>257</v>
      </c>
      <c r="AA23" s="972"/>
      <c r="AB23" s="973"/>
    </row>
    <row r="24" spans="1:28" s="89" customFormat="1" ht="15" customHeight="1">
      <c r="B24" s="109">
        <v>46100</v>
      </c>
      <c r="C24" s="110"/>
      <c r="D24" s="137">
        <v>1800</v>
      </c>
      <c r="E24" s="110"/>
      <c r="F24" s="253">
        <v>0.41666666666666669</v>
      </c>
      <c r="G24" s="110"/>
      <c r="H24" s="258">
        <v>1920</v>
      </c>
      <c r="I24" s="139">
        <f>H24/D24</f>
        <v>1.0666666666666667</v>
      </c>
      <c r="J24" s="260">
        <v>2048905.15</v>
      </c>
      <c r="K24" s="111"/>
      <c r="L24" s="140">
        <v>1781</v>
      </c>
      <c r="M24" s="231">
        <f>L24/H24</f>
        <v>0.92760416666666667</v>
      </c>
      <c r="N24" s="111"/>
      <c r="O24" s="261">
        <f>H24/AB$12</f>
        <v>17.066666666666666</v>
      </c>
      <c r="P24" s="263">
        <v>15</v>
      </c>
      <c r="Q24" s="262">
        <f>P24-O24</f>
        <v>-2.0666666666666664</v>
      </c>
      <c r="R24" s="112"/>
      <c r="S24" s="132"/>
      <c r="T24" s="132"/>
      <c r="U24" s="133"/>
      <c r="W24" s="133"/>
      <c r="X24" s="289"/>
      <c r="Z24" s="113"/>
      <c r="AA24" s="85"/>
      <c r="AB24" s="114"/>
    </row>
    <row r="25" spans="1:28" ht="15" customHeight="1">
      <c r="B25" s="109">
        <v>46101</v>
      </c>
      <c r="C25" s="110"/>
      <c r="D25" s="137">
        <v>1800</v>
      </c>
      <c r="E25" s="110"/>
      <c r="F25" s="253">
        <v>0.41666666666666669</v>
      </c>
      <c r="G25" s="110"/>
      <c r="H25" s="258">
        <v>1560</v>
      </c>
      <c r="I25" s="139">
        <f>H25/D25</f>
        <v>0.8666666666666667</v>
      </c>
      <c r="J25" s="260">
        <v>1305965.6200000001</v>
      </c>
      <c r="K25" s="111"/>
      <c r="L25" s="140">
        <v>1532</v>
      </c>
      <c r="M25" s="231">
        <f>L25/H25</f>
        <v>0.982051282051282</v>
      </c>
      <c r="N25" s="111"/>
      <c r="O25" s="262">
        <f>H25/AB$12</f>
        <v>13.866666666666667</v>
      </c>
      <c r="P25" s="263">
        <v>13</v>
      </c>
      <c r="Q25" s="262">
        <f>P25-O25</f>
        <v>-0.86666666666666714</v>
      </c>
      <c r="R25" s="112"/>
      <c r="S25" s="132"/>
      <c r="T25" s="132"/>
      <c r="U25" s="133"/>
      <c r="W25" s="133"/>
      <c r="X25" s="289"/>
      <c r="Z25" s="50" t="s">
        <v>258</v>
      </c>
      <c r="AA25" s="974" t="s">
        <v>259</v>
      </c>
      <c r="AB25" s="975"/>
    </row>
    <row r="26" spans="1:28" ht="15" customHeight="1">
      <c r="B26" s="94">
        <v>46102</v>
      </c>
      <c r="C26" s="93"/>
      <c r="D26" s="95"/>
      <c r="E26" s="93"/>
      <c r="F26" s="252"/>
      <c r="G26" s="93"/>
      <c r="H26" s="274"/>
      <c r="I26" s="276"/>
      <c r="J26" s="275">
        <v>973.28</v>
      </c>
      <c r="K26" s="224"/>
      <c r="L26" s="277">
        <v>8</v>
      </c>
      <c r="M26" s="278"/>
      <c r="N26" s="224"/>
      <c r="O26" s="266"/>
      <c r="P26" s="266"/>
      <c r="Q26" s="264"/>
      <c r="R26" s="96"/>
      <c r="S26" s="134"/>
      <c r="T26" s="134"/>
      <c r="U26" s="135"/>
      <c r="W26" s="135"/>
      <c r="X26" s="290"/>
      <c r="Z26" s="115"/>
      <c r="AA26" s="974"/>
      <c r="AB26" s="975"/>
    </row>
    <row r="27" spans="1:28" ht="15" customHeight="1">
      <c r="B27" s="94">
        <v>46103</v>
      </c>
      <c r="C27" s="93"/>
      <c r="D27" s="95"/>
      <c r="E27" s="93"/>
      <c r="F27" s="252"/>
      <c r="G27" s="93"/>
      <c r="H27" s="274"/>
      <c r="I27" s="276"/>
      <c r="J27" s="275"/>
      <c r="K27" s="224"/>
      <c r="L27" s="277"/>
      <c r="M27" s="278"/>
      <c r="N27" s="224"/>
      <c r="O27" s="266"/>
      <c r="P27" s="266"/>
      <c r="Q27" s="266"/>
      <c r="R27" s="96"/>
      <c r="S27" s="134"/>
      <c r="T27" s="134"/>
      <c r="U27" s="135"/>
      <c r="W27" s="135"/>
      <c r="X27" s="290"/>
      <c r="Z27" s="50" t="s">
        <v>260</v>
      </c>
      <c r="AA27" s="974"/>
      <c r="AB27" s="975"/>
    </row>
    <row r="28" spans="1:28" ht="15" customHeight="1">
      <c r="B28" s="109">
        <v>46104</v>
      </c>
      <c r="C28" s="110"/>
      <c r="D28" s="137">
        <v>1800</v>
      </c>
      <c r="E28" s="110"/>
      <c r="F28" s="253">
        <v>0.375</v>
      </c>
      <c r="G28" s="110"/>
      <c r="H28" s="258">
        <v>1560</v>
      </c>
      <c r="I28" s="139"/>
      <c r="J28" s="260"/>
      <c r="K28" s="111"/>
      <c r="L28" s="140"/>
      <c r="M28" s="131"/>
      <c r="N28" s="111"/>
      <c r="O28" s="262"/>
      <c r="P28" s="263"/>
      <c r="Q28" s="262"/>
      <c r="R28" s="112"/>
      <c r="S28" s="132"/>
      <c r="T28" s="132"/>
      <c r="U28" s="133"/>
      <c r="W28" s="133"/>
      <c r="X28" s="289"/>
      <c r="Z28" s="116"/>
      <c r="AA28" s="117"/>
      <c r="AB28" s="118"/>
    </row>
    <row r="29" spans="1:28" ht="15" customHeight="1" thickTop="1">
      <c r="B29" s="109">
        <v>46105</v>
      </c>
      <c r="C29" s="110"/>
      <c r="D29" s="137"/>
      <c r="E29" s="110"/>
      <c r="F29" s="253"/>
      <c r="G29" s="110"/>
      <c r="H29" s="258"/>
      <c r="I29" s="139"/>
      <c r="J29" s="260"/>
      <c r="K29" s="111"/>
      <c r="L29" s="140"/>
      <c r="M29" s="131"/>
      <c r="N29" s="111"/>
      <c r="O29" s="262"/>
      <c r="P29" s="263"/>
      <c r="Q29" s="262"/>
      <c r="R29" s="112"/>
      <c r="S29" s="132"/>
      <c r="T29" s="132"/>
      <c r="U29" s="133"/>
      <c r="W29" s="133"/>
      <c r="X29" s="289"/>
    </row>
    <row r="30" spans="1:28" s="89" customFormat="1" ht="15" customHeight="1">
      <c r="B30" s="109">
        <v>46106</v>
      </c>
      <c r="C30" s="110"/>
      <c r="D30" s="130"/>
      <c r="E30" s="110"/>
      <c r="F30" s="253"/>
      <c r="G30" s="110"/>
      <c r="H30" s="258"/>
      <c r="I30" s="139"/>
      <c r="J30" s="260"/>
      <c r="K30" s="111"/>
      <c r="L30" s="140"/>
      <c r="M30" s="131"/>
      <c r="N30" s="111"/>
      <c r="O30" s="262"/>
      <c r="P30" s="263"/>
      <c r="Q30" s="262"/>
      <c r="R30" s="112"/>
      <c r="S30" s="132"/>
      <c r="T30" s="132"/>
      <c r="U30" s="133"/>
      <c r="W30" s="133"/>
      <c r="X30" s="289"/>
      <c r="Z30" s="83"/>
      <c r="AA30" s="83"/>
      <c r="AB30" s="83"/>
    </row>
    <row r="31" spans="1:28" s="89" customFormat="1" ht="15" customHeight="1">
      <c r="B31" s="109">
        <v>46107</v>
      </c>
      <c r="C31" s="110"/>
      <c r="D31" s="130"/>
      <c r="E31" s="110"/>
      <c r="F31" s="253"/>
      <c r="G31" s="110"/>
      <c r="H31" s="258"/>
      <c r="I31" s="139"/>
      <c r="J31" s="260"/>
      <c r="K31" s="111"/>
      <c r="L31" s="140"/>
      <c r="M31" s="131"/>
      <c r="N31" s="111"/>
      <c r="O31" s="262"/>
      <c r="P31" s="263"/>
      <c r="Q31" s="262"/>
      <c r="R31" s="112"/>
      <c r="S31" s="132"/>
      <c r="T31" s="132"/>
      <c r="U31" s="133"/>
      <c r="W31" s="133"/>
      <c r="X31" s="289"/>
      <c r="Z31" s="83"/>
      <c r="AA31" s="83"/>
      <c r="AB31" s="83"/>
    </row>
    <row r="32" spans="1:28" ht="15" customHeight="1">
      <c r="B32" s="109">
        <v>46108</v>
      </c>
      <c r="C32" s="110"/>
      <c r="D32" s="130"/>
      <c r="E32" s="110"/>
      <c r="F32" s="253"/>
      <c r="G32" s="110"/>
      <c r="H32" s="258"/>
      <c r="I32" s="139"/>
      <c r="J32" s="260"/>
      <c r="K32" s="111"/>
      <c r="L32" s="140"/>
      <c r="M32" s="131"/>
      <c r="N32" s="111"/>
      <c r="O32" s="262"/>
      <c r="P32" s="263"/>
      <c r="Q32" s="262"/>
      <c r="R32" s="112"/>
      <c r="S32" s="132"/>
      <c r="T32" s="132"/>
      <c r="U32" s="133"/>
      <c r="W32" s="133"/>
      <c r="X32" s="289"/>
    </row>
    <row r="33" spans="2:28" ht="15" customHeight="1">
      <c r="B33" s="94">
        <v>46109</v>
      </c>
      <c r="C33" s="93"/>
      <c r="D33" s="95"/>
      <c r="E33" s="93"/>
      <c r="F33" s="252"/>
      <c r="G33" s="93"/>
      <c r="H33" s="274"/>
      <c r="I33" s="276"/>
      <c r="J33" s="275"/>
      <c r="K33" s="224"/>
      <c r="L33" s="277"/>
      <c r="M33" s="278"/>
      <c r="N33" s="224"/>
      <c r="O33" s="266"/>
      <c r="P33" s="266"/>
      <c r="Q33" s="266"/>
      <c r="R33" s="96"/>
      <c r="S33" s="134"/>
      <c r="T33" s="134"/>
      <c r="U33" s="135"/>
      <c r="W33" s="135"/>
      <c r="X33" s="290"/>
    </row>
    <row r="34" spans="2:28" ht="15" customHeight="1">
      <c r="B34" s="94">
        <v>46110</v>
      </c>
      <c r="C34" s="93"/>
      <c r="D34" s="95"/>
      <c r="E34" s="93"/>
      <c r="F34" s="252"/>
      <c r="G34" s="93"/>
      <c r="H34" s="274"/>
      <c r="I34" s="276"/>
      <c r="J34" s="275"/>
      <c r="K34" s="224"/>
      <c r="L34" s="277"/>
      <c r="M34" s="278"/>
      <c r="N34" s="224"/>
      <c r="O34" s="266"/>
      <c r="P34" s="266"/>
      <c r="Q34" s="266"/>
      <c r="R34" s="96"/>
      <c r="S34" s="134"/>
      <c r="T34" s="134"/>
      <c r="U34" s="135"/>
      <c r="W34" s="135"/>
      <c r="X34" s="290"/>
    </row>
    <row r="35" spans="2:28" ht="15" customHeight="1">
      <c r="B35" s="109">
        <v>46111</v>
      </c>
      <c r="C35" s="110"/>
      <c r="D35" s="130"/>
      <c r="E35" s="110"/>
      <c r="F35" s="253"/>
      <c r="G35" s="110"/>
      <c r="H35" s="258"/>
      <c r="I35" s="139"/>
      <c r="J35" s="260"/>
      <c r="K35" s="111"/>
      <c r="L35" s="140"/>
      <c r="M35" s="131"/>
      <c r="N35" s="111"/>
      <c r="O35" s="262"/>
      <c r="P35" s="263"/>
      <c r="Q35" s="262"/>
      <c r="R35" s="112"/>
      <c r="S35" s="132"/>
      <c r="T35" s="132"/>
      <c r="U35" s="133"/>
      <c r="W35" s="133"/>
      <c r="X35" s="289"/>
    </row>
    <row r="36" spans="2:28" ht="15" customHeight="1" thickBot="1">
      <c r="B36" s="109">
        <v>46112</v>
      </c>
      <c r="C36" s="110"/>
      <c r="D36" s="130"/>
      <c r="E36" s="110"/>
      <c r="F36" s="253"/>
      <c r="G36" s="110"/>
      <c r="H36" s="258"/>
      <c r="I36" s="256"/>
      <c r="J36" s="260"/>
      <c r="K36" s="111"/>
      <c r="L36" s="140"/>
      <c r="M36" s="131"/>
      <c r="N36" s="111"/>
      <c r="O36" s="262"/>
      <c r="P36" s="263"/>
      <c r="Q36" s="262"/>
      <c r="R36" s="112"/>
      <c r="S36" s="132"/>
      <c r="T36" s="132"/>
      <c r="U36" s="133"/>
      <c r="W36" s="133"/>
      <c r="X36" s="289"/>
    </row>
    <row r="37" spans="2:28" s="146" customFormat="1" ht="30.75" customHeight="1" thickTop="1" thickBot="1">
      <c r="B37" s="141" t="s">
        <v>187</v>
      </c>
      <c r="C37" s="142"/>
      <c r="D37" s="143">
        <f>SUM(D7:D36)</f>
        <v>28800</v>
      </c>
      <c r="E37" s="142"/>
      <c r="F37" s="143"/>
      <c r="G37" s="142"/>
      <c r="H37" s="143">
        <f>SUM(H7:H36)</f>
        <v>20708</v>
      </c>
      <c r="I37" s="255">
        <f>H37/D37</f>
        <v>0.71902777777777782</v>
      </c>
      <c r="J37" s="143">
        <f>SUM(J7:J36)</f>
        <v>21722531.23</v>
      </c>
      <c r="K37" s="225"/>
      <c r="L37" s="143">
        <f>SUM(L7:L36)</f>
        <v>19576</v>
      </c>
      <c r="M37" s="145">
        <f>L37/H37</f>
        <v>0.94533513617925435</v>
      </c>
      <c r="N37" s="225"/>
      <c r="O37" s="271">
        <f>SUM(O8:O36)</f>
        <v>169.74222222222221</v>
      </c>
      <c r="P37" s="271">
        <f>SUM(P7:P36)</f>
        <v>221</v>
      </c>
      <c r="Q37" s="271">
        <f>SUM(Q7:Q36)</f>
        <v>50.795555555555559</v>
      </c>
      <c r="R37" s="144"/>
      <c r="S37" s="271">
        <f>SUM(S8:S36)</f>
        <v>1122.9639111111112</v>
      </c>
      <c r="T37" s="271">
        <f>P37*AB14</f>
        <v>1787.8899999999999</v>
      </c>
      <c r="U37" s="272">
        <f>T37-S37</f>
        <v>664.92608888888867</v>
      </c>
      <c r="W37" s="288">
        <f>SUM(W7:W36)</f>
        <v>289.5</v>
      </c>
      <c r="X37" s="288"/>
      <c r="Z37" s="147"/>
      <c r="AA37" s="147"/>
      <c r="AB37" s="147"/>
    </row>
    <row r="38" spans="2:28" s="89" customFormat="1" ht="12" customHeight="1" thickTop="1">
      <c r="D38" s="91"/>
      <c r="F38" s="91"/>
      <c r="H38" s="91"/>
      <c r="I38" s="128"/>
      <c r="J38" s="91"/>
      <c r="K38" s="226"/>
      <c r="L38" s="91"/>
      <c r="M38" s="123"/>
      <c r="N38" s="226"/>
      <c r="O38" s="91"/>
      <c r="W38" s="89">
        <v>0</v>
      </c>
      <c r="Z38" s="83"/>
      <c r="AA38" s="83"/>
      <c r="AB38" s="83"/>
    </row>
    <row r="39" spans="2:28" ht="12" customHeight="1">
      <c r="B39" s="83"/>
      <c r="C39" s="83"/>
      <c r="E39" s="83"/>
      <c r="G39" s="83"/>
      <c r="S39" s="83"/>
      <c r="T39" s="83"/>
      <c r="U39" s="83"/>
    </row>
    <row r="40" spans="2:28" ht="12" customHeight="1">
      <c r="B40" s="83"/>
      <c r="C40" s="83"/>
      <c r="E40" s="83"/>
      <c r="G40" s="83"/>
      <c r="S40" s="83"/>
      <c r="T40" s="83"/>
      <c r="U40" s="83"/>
    </row>
    <row r="41" spans="2:28" ht="12" customHeight="1">
      <c r="B41" s="83"/>
      <c r="C41" s="83"/>
      <c r="E41" s="83"/>
      <c r="G41" s="83"/>
      <c r="S41" s="83"/>
      <c r="T41" s="83"/>
      <c r="U41" s="83"/>
    </row>
  </sheetData>
  <mergeCells count="8">
    <mergeCell ref="Z21:AB23"/>
    <mergeCell ref="Z2:AB5"/>
    <mergeCell ref="AA25:AB27"/>
    <mergeCell ref="H3:J3"/>
    <mergeCell ref="L3:M3"/>
    <mergeCell ref="P3:Q3"/>
    <mergeCell ref="S3:U3"/>
    <mergeCell ref="B2:W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7B1A-A017-4B6F-A34F-9B41D1327E5F}">
  <sheetPr codeName="Planilha13"/>
  <dimension ref="A1:AG69"/>
  <sheetViews>
    <sheetView workbookViewId="0">
      <pane ySplit="1" topLeftCell="A2" activePane="bottomLeft" state="frozen"/>
      <selection pane="bottomLeft" activeCell="L32" sqref="L32"/>
    </sheetView>
  </sheetViews>
  <sheetFormatPr defaultColWidth="16.5" defaultRowHeight="11.25"/>
  <cols>
    <col min="1" max="1" width="11.5" style="542" customWidth="1"/>
    <col min="2" max="2" width="29.5" style="542" bestFit="1" customWidth="1"/>
    <col min="3" max="3" width="11.5" style="542" bestFit="1" customWidth="1"/>
    <col min="4" max="4" width="10.5" style="551" bestFit="1" customWidth="1"/>
    <col min="5" max="33" width="5.5" style="544" bestFit="1" customWidth="1"/>
    <col min="34" max="16384" width="16.5" style="542"/>
  </cols>
  <sheetData>
    <row r="1" spans="1:33" ht="12" thickTop="1">
      <c r="A1" s="529" t="s">
        <v>54</v>
      </c>
      <c r="B1" s="530" t="s">
        <v>55</v>
      </c>
      <c r="C1" s="530" t="s">
        <v>57</v>
      </c>
      <c r="D1" s="550">
        <v>46113</v>
      </c>
      <c r="E1" s="541">
        <v>46114</v>
      </c>
      <c r="F1" s="541">
        <v>46115</v>
      </c>
      <c r="G1" s="541">
        <v>46116</v>
      </c>
      <c r="H1" s="541">
        <v>46117</v>
      </c>
      <c r="I1" s="541">
        <v>46118</v>
      </c>
      <c r="J1" s="541">
        <v>46119</v>
      </c>
      <c r="K1" s="541">
        <v>46120</v>
      </c>
      <c r="L1" s="541">
        <v>46121</v>
      </c>
      <c r="M1" s="541">
        <v>46122</v>
      </c>
      <c r="N1" s="541">
        <v>46123</v>
      </c>
      <c r="O1" s="541">
        <v>46124</v>
      </c>
      <c r="P1" s="541">
        <v>46125</v>
      </c>
      <c r="Q1" s="541">
        <v>46126</v>
      </c>
      <c r="R1" s="541">
        <v>46127</v>
      </c>
      <c r="S1" s="541">
        <v>46128</v>
      </c>
      <c r="T1" s="541">
        <v>46129</v>
      </c>
      <c r="U1" s="541">
        <v>46130</v>
      </c>
      <c r="V1" s="541">
        <v>46131</v>
      </c>
      <c r="W1" s="541">
        <v>46132</v>
      </c>
      <c r="X1" s="541">
        <v>46133</v>
      </c>
      <c r="Y1" s="541">
        <v>46134</v>
      </c>
      <c r="Z1" s="541">
        <v>46135</v>
      </c>
      <c r="AA1" s="541">
        <v>46136</v>
      </c>
      <c r="AB1" s="541">
        <v>46137</v>
      </c>
      <c r="AC1" s="541">
        <v>46138</v>
      </c>
      <c r="AD1" s="541">
        <v>46139</v>
      </c>
      <c r="AE1" s="541">
        <v>46140</v>
      </c>
      <c r="AF1" s="541">
        <v>46141</v>
      </c>
      <c r="AG1" s="541">
        <v>46142</v>
      </c>
    </row>
    <row r="2" spans="1:33">
      <c r="A2" s="531">
        <v>1</v>
      </c>
      <c r="B2" s="543" t="s">
        <v>62</v>
      </c>
      <c r="C2" s="532" t="s">
        <v>63</v>
      </c>
      <c r="D2" s="551" t="s">
        <v>407</v>
      </c>
    </row>
    <row r="3" spans="1:33">
      <c r="A3" s="531">
        <v>2</v>
      </c>
      <c r="B3" s="543" t="s">
        <v>67</v>
      </c>
      <c r="C3" s="532" t="s">
        <v>63</v>
      </c>
      <c r="D3" s="552" t="s">
        <v>408</v>
      </c>
    </row>
    <row r="4" spans="1:33">
      <c r="A4" s="531">
        <v>3</v>
      </c>
      <c r="B4" s="543" t="s">
        <v>409</v>
      </c>
      <c r="C4" s="532" t="s">
        <v>410</v>
      </c>
      <c r="D4" s="551" t="s">
        <v>411</v>
      </c>
    </row>
    <row r="5" spans="1:33">
      <c r="A5" s="531">
        <v>4</v>
      </c>
      <c r="B5" s="543" t="s">
        <v>77</v>
      </c>
      <c r="C5" s="532" t="s">
        <v>78</v>
      </c>
      <c r="D5" s="551" t="s">
        <v>412</v>
      </c>
    </row>
    <row r="6" spans="1:33">
      <c r="A6" s="531">
        <v>5</v>
      </c>
      <c r="B6" s="543" t="s">
        <v>82</v>
      </c>
      <c r="C6" s="532" t="s">
        <v>83</v>
      </c>
      <c r="D6" s="551" t="s">
        <v>411</v>
      </c>
    </row>
    <row r="7" spans="1:33">
      <c r="A7" s="531">
        <v>6</v>
      </c>
      <c r="B7" s="543" t="s">
        <v>85</v>
      </c>
      <c r="C7" s="532" t="s">
        <v>86</v>
      </c>
      <c r="D7" s="551" t="s">
        <v>413</v>
      </c>
    </row>
    <row r="8" spans="1:33">
      <c r="A8" s="531">
        <v>7</v>
      </c>
      <c r="B8" s="543" t="s">
        <v>88</v>
      </c>
      <c r="C8" s="532" t="s">
        <v>63</v>
      </c>
      <c r="D8" s="551" t="s">
        <v>407</v>
      </c>
    </row>
    <row r="9" spans="1:33">
      <c r="A9" s="531">
        <v>8</v>
      </c>
      <c r="B9" s="543" t="s">
        <v>89</v>
      </c>
      <c r="C9" s="532" t="s">
        <v>68</v>
      </c>
      <c r="D9" s="551" t="s">
        <v>414</v>
      </c>
    </row>
    <row r="10" spans="1:33">
      <c r="A10" s="531">
        <v>9</v>
      </c>
      <c r="B10" s="543" t="s">
        <v>91</v>
      </c>
      <c r="C10" s="532" t="s">
        <v>63</v>
      </c>
      <c r="D10" s="552" t="s">
        <v>415</v>
      </c>
    </row>
    <row r="11" spans="1:33">
      <c r="A11" s="531">
        <v>10</v>
      </c>
      <c r="B11" s="543" t="s">
        <v>92</v>
      </c>
      <c r="C11" s="532" t="s">
        <v>93</v>
      </c>
      <c r="D11" s="551" t="s">
        <v>416</v>
      </c>
    </row>
    <row r="12" spans="1:33">
      <c r="A12" s="531">
        <v>11</v>
      </c>
      <c r="B12" s="543" t="s">
        <v>96</v>
      </c>
      <c r="C12" s="532" t="s">
        <v>97</v>
      </c>
      <c r="D12" s="551" t="s">
        <v>411</v>
      </c>
    </row>
    <row r="13" spans="1:33">
      <c r="A13" s="531">
        <v>12</v>
      </c>
      <c r="B13" s="543" t="s">
        <v>99</v>
      </c>
      <c r="C13" s="532" t="s">
        <v>63</v>
      </c>
      <c r="D13" s="551" t="s">
        <v>407</v>
      </c>
    </row>
    <row r="14" spans="1:33">
      <c r="A14" s="531">
        <v>13</v>
      </c>
      <c r="B14" s="543" t="s">
        <v>100</v>
      </c>
      <c r="C14" s="532" t="s">
        <v>63</v>
      </c>
      <c r="D14" s="551" t="s">
        <v>407</v>
      </c>
    </row>
    <row r="15" spans="1:33">
      <c r="A15" s="531">
        <v>14</v>
      </c>
      <c r="B15" s="543" t="s">
        <v>101</v>
      </c>
      <c r="C15" s="532" t="s">
        <v>93</v>
      </c>
      <c r="D15" s="551" t="s">
        <v>416</v>
      </c>
    </row>
    <row r="16" spans="1:33">
      <c r="A16" s="531">
        <v>15</v>
      </c>
      <c r="B16" s="543" t="s">
        <v>102</v>
      </c>
      <c r="C16" s="532" t="s">
        <v>103</v>
      </c>
      <c r="D16" s="551" t="s">
        <v>411</v>
      </c>
    </row>
    <row r="17" spans="1:4">
      <c r="A17" s="531">
        <v>16</v>
      </c>
      <c r="B17" s="543" t="s">
        <v>106</v>
      </c>
      <c r="C17" s="532" t="s">
        <v>103</v>
      </c>
      <c r="D17" s="551" t="s">
        <v>411</v>
      </c>
    </row>
    <row r="18" spans="1:4">
      <c r="A18" s="531">
        <v>17</v>
      </c>
      <c r="B18" s="543" t="s">
        <v>109</v>
      </c>
      <c r="C18" s="532" t="s">
        <v>93</v>
      </c>
      <c r="D18" s="551" t="s">
        <v>416</v>
      </c>
    </row>
    <row r="19" spans="1:4">
      <c r="A19" s="531">
        <v>18</v>
      </c>
      <c r="B19" s="543" t="s">
        <v>110</v>
      </c>
      <c r="C19" s="532" t="s">
        <v>63</v>
      </c>
      <c r="D19" s="551" t="s">
        <v>407</v>
      </c>
    </row>
    <row r="20" spans="1:4">
      <c r="A20" s="531">
        <v>19</v>
      </c>
      <c r="B20" s="543" t="s">
        <v>111</v>
      </c>
      <c r="C20" s="532" t="s">
        <v>103</v>
      </c>
      <c r="D20" s="551" t="s">
        <v>411</v>
      </c>
    </row>
    <row r="21" spans="1:4">
      <c r="A21" s="531">
        <v>20</v>
      </c>
      <c r="B21" s="543" t="s">
        <v>114</v>
      </c>
      <c r="C21" s="532" t="s">
        <v>68</v>
      </c>
      <c r="D21" s="551" t="s">
        <v>414</v>
      </c>
    </row>
    <row r="22" spans="1:4">
      <c r="A22" s="531">
        <v>21</v>
      </c>
      <c r="B22" s="543" t="s">
        <v>115</v>
      </c>
      <c r="C22" s="532" t="s">
        <v>63</v>
      </c>
      <c r="D22" s="551" t="s">
        <v>407</v>
      </c>
    </row>
    <row r="23" spans="1:4">
      <c r="A23" s="531">
        <v>22</v>
      </c>
      <c r="B23" s="543" t="s">
        <v>117</v>
      </c>
      <c r="C23" s="532" t="s">
        <v>63</v>
      </c>
      <c r="D23" s="551" t="s">
        <v>407</v>
      </c>
    </row>
    <row r="24" spans="1:4">
      <c r="A24" s="531">
        <v>23</v>
      </c>
      <c r="B24" s="543" t="s">
        <v>118</v>
      </c>
      <c r="C24" s="532" t="s">
        <v>63</v>
      </c>
      <c r="D24" s="551" t="s">
        <v>407</v>
      </c>
    </row>
    <row r="25" spans="1:4">
      <c r="A25" s="531">
        <v>24</v>
      </c>
      <c r="B25" s="543" t="s">
        <v>119</v>
      </c>
      <c r="C25" s="532" t="s">
        <v>78</v>
      </c>
      <c r="D25" s="551" t="s">
        <v>412</v>
      </c>
    </row>
    <row r="26" spans="1:4">
      <c r="A26" s="531">
        <v>25</v>
      </c>
      <c r="B26" s="543" t="s">
        <v>122</v>
      </c>
      <c r="C26" s="532" t="s">
        <v>93</v>
      </c>
      <c r="D26" s="551" t="s">
        <v>416</v>
      </c>
    </row>
    <row r="27" spans="1:4">
      <c r="A27" s="531">
        <v>26</v>
      </c>
      <c r="B27" s="543" t="s">
        <v>123</v>
      </c>
      <c r="C27" s="532" t="s">
        <v>73</v>
      </c>
      <c r="D27" s="551" t="s">
        <v>417</v>
      </c>
    </row>
    <row r="28" spans="1:4">
      <c r="A28" s="531">
        <v>27</v>
      </c>
      <c r="B28" s="543" t="s">
        <v>124</v>
      </c>
      <c r="C28" s="532" t="s">
        <v>73</v>
      </c>
      <c r="D28" s="551" t="s">
        <v>417</v>
      </c>
    </row>
    <row r="29" spans="1:4">
      <c r="A29" s="531">
        <v>28</v>
      </c>
      <c r="B29" s="543" t="s">
        <v>126</v>
      </c>
      <c r="C29" s="532" t="s">
        <v>83</v>
      </c>
      <c r="D29" s="551" t="s">
        <v>411</v>
      </c>
    </row>
    <row r="30" spans="1:4">
      <c r="A30" s="531">
        <v>29</v>
      </c>
      <c r="B30" s="543" t="s">
        <v>254</v>
      </c>
      <c r="C30" s="532" t="s">
        <v>63</v>
      </c>
      <c r="D30" s="551" t="s">
        <v>407</v>
      </c>
    </row>
    <row r="31" spans="1:4">
      <c r="A31" s="531">
        <v>30</v>
      </c>
      <c r="B31" s="543" t="s">
        <v>128</v>
      </c>
      <c r="C31" s="532" t="s">
        <v>68</v>
      </c>
      <c r="D31" s="551" t="s">
        <v>414</v>
      </c>
    </row>
    <row r="32" spans="1:4">
      <c r="A32" s="531">
        <v>31</v>
      </c>
      <c r="B32" s="543" t="s">
        <v>129</v>
      </c>
      <c r="C32" s="532" t="s">
        <v>63</v>
      </c>
      <c r="D32" s="551" t="s">
        <v>407</v>
      </c>
    </row>
    <row r="33" spans="1:4">
      <c r="A33" s="531">
        <v>32</v>
      </c>
      <c r="B33" s="543" t="s">
        <v>130</v>
      </c>
      <c r="C33" s="532" t="s">
        <v>103</v>
      </c>
      <c r="D33" s="551" t="s">
        <v>411</v>
      </c>
    </row>
    <row r="34" spans="1:4">
      <c r="A34" s="531">
        <v>33</v>
      </c>
      <c r="B34" s="543" t="s">
        <v>132</v>
      </c>
      <c r="C34" s="532" t="s">
        <v>133</v>
      </c>
      <c r="D34" s="552" t="s">
        <v>408</v>
      </c>
    </row>
    <row r="35" spans="1:4">
      <c r="A35" s="531">
        <v>34</v>
      </c>
      <c r="B35" s="543" t="s">
        <v>135</v>
      </c>
      <c r="C35" s="532" t="s">
        <v>136</v>
      </c>
      <c r="D35" s="551" t="s">
        <v>411</v>
      </c>
    </row>
    <row r="36" spans="1:4">
      <c r="A36" s="531">
        <v>35</v>
      </c>
      <c r="B36" s="543" t="s">
        <v>138</v>
      </c>
      <c r="C36" s="532" t="s">
        <v>133</v>
      </c>
      <c r="D36" s="551" t="s">
        <v>411</v>
      </c>
    </row>
    <row r="37" spans="1:4">
      <c r="A37" s="531">
        <v>36</v>
      </c>
      <c r="B37" s="543" t="s">
        <v>163</v>
      </c>
      <c r="C37" s="532" t="s">
        <v>103</v>
      </c>
      <c r="D37" s="551" t="s">
        <v>411</v>
      </c>
    </row>
    <row r="38" spans="1:4">
      <c r="A38" s="531">
        <v>37</v>
      </c>
      <c r="B38" s="543" t="s">
        <v>140</v>
      </c>
      <c r="C38" s="532" t="s">
        <v>133</v>
      </c>
      <c r="D38" s="551" t="s">
        <v>411</v>
      </c>
    </row>
    <row r="39" spans="1:4">
      <c r="A39" s="531">
        <v>38</v>
      </c>
      <c r="B39" s="543" t="s">
        <v>142</v>
      </c>
      <c r="C39" s="532" t="s">
        <v>63</v>
      </c>
      <c r="D39" s="551" t="s">
        <v>407</v>
      </c>
    </row>
    <row r="40" spans="1:4">
      <c r="A40" s="531">
        <v>39</v>
      </c>
      <c r="B40" s="543" t="s">
        <v>143</v>
      </c>
      <c r="C40" s="532" t="s">
        <v>83</v>
      </c>
      <c r="D40" s="551" t="s">
        <v>411</v>
      </c>
    </row>
    <row r="41" spans="1:4">
      <c r="A41" s="531">
        <v>40</v>
      </c>
      <c r="B41" s="543" t="s">
        <v>144</v>
      </c>
      <c r="C41" s="532" t="s">
        <v>103</v>
      </c>
      <c r="D41" s="551" t="s">
        <v>411</v>
      </c>
    </row>
    <row r="42" spans="1:4">
      <c r="A42" s="531">
        <v>41</v>
      </c>
      <c r="B42" s="543" t="s">
        <v>145</v>
      </c>
      <c r="C42" s="532" t="s">
        <v>63</v>
      </c>
      <c r="D42" s="551" t="s">
        <v>407</v>
      </c>
    </row>
    <row r="43" spans="1:4">
      <c r="A43" s="531">
        <v>42</v>
      </c>
      <c r="B43" s="543" t="s">
        <v>418</v>
      </c>
      <c r="C43" s="532" t="s">
        <v>68</v>
      </c>
      <c r="D43" s="551" t="s">
        <v>414</v>
      </c>
    </row>
    <row r="44" spans="1:4">
      <c r="A44" s="531">
        <v>43</v>
      </c>
      <c r="B44" s="545" t="s">
        <v>146</v>
      </c>
      <c r="C44" s="533" t="s">
        <v>147</v>
      </c>
      <c r="D44" s="551" t="s">
        <v>419</v>
      </c>
    </row>
    <row r="45" spans="1:4">
      <c r="A45" s="531">
        <v>44</v>
      </c>
      <c r="B45" s="545" t="s">
        <v>125</v>
      </c>
      <c r="C45" s="533" t="s">
        <v>63</v>
      </c>
      <c r="D45" s="551" t="s">
        <v>407</v>
      </c>
    </row>
    <row r="46" spans="1:4" ht="12" thickBot="1">
      <c r="A46" s="534">
        <v>45</v>
      </c>
      <c r="B46" s="545" t="s">
        <v>113</v>
      </c>
      <c r="C46" s="533" t="s">
        <v>63</v>
      </c>
      <c r="D46" s="551" t="s">
        <v>407</v>
      </c>
    </row>
    <row r="47" spans="1:4" ht="12" thickTop="1">
      <c r="A47" s="535">
        <v>46</v>
      </c>
      <c r="B47" s="546" t="s">
        <v>148</v>
      </c>
      <c r="C47" s="536" t="s">
        <v>131</v>
      </c>
      <c r="D47" s="551" t="s">
        <v>411</v>
      </c>
    </row>
    <row r="48" spans="1:4">
      <c r="A48" s="537">
        <v>47</v>
      </c>
      <c r="B48" s="547" t="s">
        <v>228</v>
      </c>
      <c r="C48" s="538" t="s">
        <v>86</v>
      </c>
      <c r="D48" s="552" t="s">
        <v>420</v>
      </c>
    </row>
    <row r="49" spans="1:4">
      <c r="A49" s="537">
        <v>48</v>
      </c>
      <c r="B49" s="547" t="s">
        <v>229</v>
      </c>
      <c r="C49" s="538" t="s">
        <v>86</v>
      </c>
      <c r="D49" s="552" t="s">
        <v>420</v>
      </c>
    </row>
    <row r="50" spans="1:4">
      <c r="A50" s="537">
        <v>49</v>
      </c>
      <c r="B50" s="547" t="s">
        <v>151</v>
      </c>
      <c r="C50" s="538" t="s">
        <v>86</v>
      </c>
      <c r="D50" s="551" t="s">
        <v>413</v>
      </c>
    </row>
    <row r="51" spans="1:4" ht="12" thickBot="1">
      <c r="A51" s="539">
        <v>50</v>
      </c>
      <c r="B51" s="548" t="s">
        <v>230</v>
      </c>
      <c r="C51" s="540" t="s">
        <v>86</v>
      </c>
      <c r="D51" s="552" t="s">
        <v>420</v>
      </c>
    </row>
    <row r="52" spans="1:4">
      <c r="A52" s="553"/>
      <c r="B52" s="553"/>
      <c r="C52" s="554"/>
      <c r="D52" s="555"/>
    </row>
    <row r="53" spans="1:4">
      <c r="A53" s="553"/>
      <c r="B53" s="553"/>
      <c r="C53" s="554"/>
      <c r="D53" s="555"/>
    </row>
    <row r="54" spans="1:4">
      <c r="A54" s="553"/>
      <c r="B54" s="553"/>
      <c r="C54" s="554"/>
      <c r="D54" s="555"/>
    </row>
    <row r="55" spans="1:4">
      <c r="B55" s="549" t="s">
        <v>421</v>
      </c>
      <c r="C55" s="549" t="s">
        <v>179</v>
      </c>
    </row>
    <row r="56" spans="1:4">
      <c r="B56" s="542" t="s">
        <v>407</v>
      </c>
      <c r="C56" s="542">
        <v>16</v>
      </c>
      <c r="D56" s="544">
        <f>COUNTIF(D1:D51,"OPE")</f>
        <v>14</v>
      </c>
    </row>
    <row r="57" spans="1:4">
      <c r="B57" s="542" t="s">
        <v>411</v>
      </c>
      <c r="C57" s="542">
        <v>16</v>
      </c>
      <c r="D57" s="544">
        <f>COUNTIF(D1:D55,"ADM")</f>
        <v>15</v>
      </c>
    </row>
    <row r="58" spans="1:4">
      <c r="B58" s="542" t="s">
        <v>413</v>
      </c>
      <c r="C58" s="542">
        <v>5</v>
      </c>
      <c r="D58" s="544">
        <f>COUNTIF(D1:D56,"EMB")</f>
        <v>2</v>
      </c>
    </row>
    <row r="59" spans="1:4">
      <c r="B59" s="542" t="s">
        <v>414</v>
      </c>
      <c r="C59" s="542">
        <v>4</v>
      </c>
      <c r="D59" s="544">
        <f>COUNTIF(D1:D57,"GAR")</f>
        <v>4</v>
      </c>
    </row>
    <row r="60" spans="1:4">
      <c r="B60" s="542" t="s">
        <v>417</v>
      </c>
      <c r="C60" s="542">
        <v>2</v>
      </c>
      <c r="D60" s="544">
        <f>COUNTIF(D1:D58,"MAN")</f>
        <v>2</v>
      </c>
    </row>
    <row r="61" spans="1:4">
      <c r="B61" s="542" t="s">
        <v>419</v>
      </c>
      <c r="C61" s="542">
        <v>1</v>
      </c>
      <c r="D61" s="544">
        <f>COUNTIF(D1:D59,"REC")</f>
        <v>1</v>
      </c>
    </row>
    <row r="62" spans="1:4">
      <c r="B62" s="542" t="s">
        <v>416</v>
      </c>
      <c r="C62" s="542">
        <v>4</v>
      </c>
      <c r="D62" s="544">
        <f>COUNTIF(D1:D60,"REM")</f>
        <v>4</v>
      </c>
    </row>
    <row r="63" spans="1:4">
      <c r="B63" s="542" t="s">
        <v>412</v>
      </c>
      <c r="C63" s="542">
        <v>2</v>
      </c>
      <c r="D63" s="544">
        <f>COUNTIF(D1:D61,"SEN")</f>
        <v>2</v>
      </c>
    </row>
    <row r="64" spans="1:4">
      <c r="B64" s="549" t="s">
        <v>187</v>
      </c>
      <c r="C64" s="549">
        <f>SUM(C56:C63)</f>
        <v>50</v>
      </c>
      <c r="D64" s="551">
        <f>SUM(D56:D63)</f>
        <v>44</v>
      </c>
    </row>
    <row r="66" spans="2:4">
      <c r="B66" s="542" t="s">
        <v>408</v>
      </c>
      <c r="D66" s="544">
        <f>COUNTIF(D1:D51,"FÉRIAS")</f>
        <v>2</v>
      </c>
    </row>
    <row r="67" spans="2:4">
      <c r="B67" s="542" t="s">
        <v>420</v>
      </c>
      <c r="D67" s="544">
        <f>COUNTIF(D2:D51,"AUSENTE")</f>
        <v>3</v>
      </c>
    </row>
    <row r="68" spans="2:4">
      <c r="B68" s="542" t="s">
        <v>415</v>
      </c>
      <c r="D68" s="544">
        <f>COUNTIF(D1:D51,"ATESTADO")</f>
        <v>1</v>
      </c>
    </row>
    <row r="69" spans="2:4">
      <c r="C69" s="549" t="s">
        <v>187</v>
      </c>
      <c r="D69" s="551">
        <f>SUM(D66:D68)</f>
        <v>6</v>
      </c>
    </row>
  </sheetData>
  <autoFilter ref="A1:AG64" xr:uid="{48CC7B1A-A017-4B6F-A34F-9B41D1327E5F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A15F-7EBB-4BAB-8521-1B15095EA734}">
  <sheetPr codeName="Planilha12">
    <tabColor theme="1"/>
  </sheetPr>
  <dimension ref="A1:F36"/>
  <sheetViews>
    <sheetView workbookViewId="0">
      <pane ySplit="3" topLeftCell="A4" activePane="bottomLeft" state="frozen"/>
      <selection pane="bottomLeft" activeCell="G5" sqref="G5"/>
    </sheetView>
  </sheetViews>
  <sheetFormatPr defaultColWidth="8.5" defaultRowHeight="15"/>
  <cols>
    <col min="1" max="1" width="30.5" style="838" customWidth="1"/>
    <col min="2" max="2" width="34.75" style="874" bestFit="1" customWidth="1"/>
    <col min="3" max="3" width="34.5" style="34" customWidth="1"/>
    <col min="4" max="4" width="5.5" style="632" customWidth="1"/>
    <col min="5" max="5" width="20" style="34" customWidth="1"/>
    <col min="6" max="6" width="11.5" style="34" customWidth="1"/>
    <col min="7" max="16384" width="8.5" style="34"/>
  </cols>
  <sheetData>
    <row r="1" spans="1:6" ht="20.25">
      <c r="A1" s="979" t="s">
        <v>422</v>
      </c>
      <c r="B1" s="979"/>
      <c r="C1" s="979"/>
      <c r="D1" s="979"/>
      <c r="E1" s="979"/>
      <c r="F1" s="979"/>
    </row>
    <row r="2" spans="1:6" ht="9.75" customHeight="1" thickBot="1"/>
    <row r="3" spans="1:6" ht="16.5" thickTop="1">
      <c r="A3" s="839" t="s">
        <v>423</v>
      </c>
      <c r="B3" s="875" t="s">
        <v>214</v>
      </c>
      <c r="C3" s="786" t="s">
        <v>223</v>
      </c>
    </row>
    <row r="4" spans="1:6" ht="15" customHeight="1">
      <c r="A4" s="869">
        <v>1</v>
      </c>
      <c r="B4" s="876">
        <v>46296</v>
      </c>
      <c r="C4" s="834" t="s">
        <v>424</v>
      </c>
      <c r="E4" s="38" t="s">
        <v>425</v>
      </c>
      <c r="F4" s="38">
        <v>20</v>
      </c>
    </row>
    <row r="5" spans="1:6" ht="15" customHeight="1">
      <c r="A5" s="869">
        <v>2</v>
      </c>
      <c r="B5" s="876">
        <v>46297</v>
      </c>
      <c r="C5" s="834" t="s">
        <v>424</v>
      </c>
      <c r="E5" s="38" t="s">
        <v>426</v>
      </c>
      <c r="F5" s="38">
        <v>4</v>
      </c>
    </row>
    <row r="6" spans="1:6" ht="15" customHeight="1">
      <c r="A6" s="840"/>
      <c r="B6" s="877">
        <v>46298</v>
      </c>
      <c r="C6" s="837"/>
      <c r="E6" s="38" t="s">
        <v>43</v>
      </c>
      <c r="F6" s="38">
        <f>F4-F5</f>
        <v>16</v>
      </c>
    </row>
    <row r="7" spans="1:6" ht="15" customHeight="1">
      <c r="A7" s="840"/>
      <c r="B7" s="877">
        <v>46299</v>
      </c>
      <c r="C7" s="837"/>
    </row>
    <row r="8" spans="1:6" ht="15" customHeight="1">
      <c r="A8" s="869">
        <v>3</v>
      </c>
      <c r="B8" s="876">
        <v>46300</v>
      </c>
      <c r="C8" s="834" t="s">
        <v>424</v>
      </c>
    </row>
    <row r="9" spans="1:6" ht="15" customHeight="1">
      <c r="A9" s="869">
        <v>4</v>
      </c>
      <c r="B9" s="876">
        <v>46301</v>
      </c>
      <c r="C9" s="834" t="s">
        <v>424</v>
      </c>
    </row>
    <row r="10" spans="1:6" ht="15" customHeight="1">
      <c r="A10" s="869">
        <v>5</v>
      </c>
      <c r="B10" s="876">
        <v>46302</v>
      </c>
      <c r="C10" s="869"/>
    </row>
    <row r="11" spans="1:6" ht="15" customHeight="1">
      <c r="A11" s="869">
        <v>6</v>
      </c>
      <c r="B11" s="876">
        <v>46303</v>
      </c>
      <c r="C11" s="872"/>
    </row>
    <row r="12" spans="1:6" ht="15" customHeight="1">
      <c r="A12" s="881"/>
      <c r="B12" s="882">
        <v>46304</v>
      </c>
      <c r="C12" s="883" t="s">
        <v>51</v>
      </c>
    </row>
    <row r="13" spans="1:6" ht="15" customHeight="1">
      <c r="A13" s="840"/>
      <c r="B13" s="877">
        <v>46305</v>
      </c>
      <c r="C13" s="837"/>
    </row>
    <row r="14" spans="1:6" ht="15" customHeight="1">
      <c r="A14" s="840"/>
      <c r="B14" s="877">
        <v>46306</v>
      </c>
      <c r="C14" s="837"/>
    </row>
    <row r="15" spans="1:6" ht="15" customHeight="1">
      <c r="A15" s="841"/>
      <c r="B15" s="879">
        <v>46307</v>
      </c>
      <c r="C15" s="880" t="s">
        <v>427</v>
      </c>
    </row>
    <row r="16" spans="1:6" ht="15" customHeight="1">
      <c r="A16" s="869">
        <v>7</v>
      </c>
      <c r="B16" s="876">
        <v>46308</v>
      </c>
      <c r="C16" s="873"/>
    </row>
    <row r="17" spans="1:3" ht="15" customHeight="1">
      <c r="A17" s="869">
        <v>8</v>
      </c>
      <c r="B17" s="876">
        <v>46309</v>
      </c>
      <c r="C17" s="872"/>
    </row>
    <row r="18" spans="1:3" ht="15" customHeight="1">
      <c r="A18" s="869">
        <v>9</v>
      </c>
      <c r="B18" s="876">
        <v>46310</v>
      </c>
      <c r="C18" s="872"/>
    </row>
    <row r="19" spans="1:3" ht="15" customHeight="1">
      <c r="A19" s="869">
        <v>10</v>
      </c>
      <c r="B19" s="876">
        <v>46311</v>
      </c>
      <c r="C19" s="872"/>
    </row>
    <row r="20" spans="1:3" ht="15" customHeight="1">
      <c r="A20" s="840"/>
      <c r="B20" s="877">
        <v>46312</v>
      </c>
      <c r="C20" s="837"/>
    </row>
    <row r="21" spans="1:3" ht="15" customHeight="1">
      <c r="A21" s="840"/>
      <c r="B21" s="877">
        <v>46313</v>
      </c>
      <c r="C21" s="837"/>
    </row>
    <row r="22" spans="1:3" ht="15" customHeight="1">
      <c r="A22" s="869">
        <v>11</v>
      </c>
      <c r="B22" s="876">
        <v>46314</v>
      </c>
      <c r="C22" s="872"/>
    </row>
    <row r="23" spans="1:3" ht="15" customHeight="1">
      <c r="A23" s="869">
        <v>12</v>
      </c>
      <c r="B23" s="876">
        <v>46315</v>
      </c>
      <c r="C23" s="872"/>
    </row>
    <row r="24" spans="1:3" ht="15" customHeight="1">
      <c r="A24" s="869">
        <v>13</v>
      </c>
      <c r="B24" s="876">
        <v>46316</v>
      </c>
      <c r="C24" s="872"/>
    </row>
    <row r="25" spans="1:3" ht="15" customHeight="1">
      <c r="A25" s="869">
        <v>14</v>
      </c>
      <c r="B25" s="876">
        <v>46317</v>
      </c>
      <c r="C25" s="873"/>
    </row>
    <row r="26" spans="1:3" ht="15" customHeight="1">
      <c r="A26" s="869">
        <v>15</v>
      </c>
      <c r="B26" s="876">
        <v>46318</v>
      </c>
      <c r="C26" s="872"/>
    </row>
    <row r="27" spans="1:3" ht="15" customHeight="1">
      <c r="A27" s="840"/>
      <c r="B27" s="877">
        <v>46319</v>
      </c>
      <c r="C27" s="837"/>
    </row>
    <row r="28" spans="1:3" ht="15" customHeight="1">
      <c r="A28" s="840"/>
      <c r="B28" s="877">
        <v>46320</v>
      </c>
      <c r="C28" s="837"/>
    </row>
    <row r="29" spans="1:3" ht="15" customHeight="1">
      <c r="A29" s="869">
        <v>16</v>
      </c>
      <c r="B29" s="876">
        <v>46321</v>
      </c>
      <c r="C29" s="872"/>
    </row>
    <row r="30" spans="1:3" ht="15" customHeight="1">
      <c r="A30" s="869">
        <v>17</v>
      </c>
      <c r="B30" s="876">
        <v>46322</v>
      </c>
      <c r="C30" s="872"/>
    </row>
    <row r="31" spans="1:3" ht="15" customHeight="1">
      <c r="A31" s="869">
        <v>18</v>
      </c>
      <c r="B31" s="876">
        <v>46323</v>
      </c>
      <c r="C31" s="100"/>
    </row>
    <row r="32" spans="1:3" ht="15" customHeight="1">
      <c r="A32" s="869">
        <v>19</v>
      </c>
      <c r="B32" s="876">
        <v>46324</v>
      </c>
      <c r="C32" s="873"/>
    </row>
    <row r="33" spans="1:3" ht="15" customHeight="1">
      <c r="A33" s="869">
        <v>20</v>
      </c>
      <c r="B33" s="876">
        <v>46325</v>
      </c>
      <c r="C33" s="872"/>
    </row>
    <row r="34" spans="1:3" ht="15" customHeight="1">
      <c r="A34" s="878"/>
      <c r="B34" s="877">
        <v>46326</v>
      </c>
      <c r="C34" s="837"/>
    </row>
    <row r="35" spans="1:3" ht="15.75" thickBot="1">
      <c r="A35" s="870"/>
      <c r="B35" s="876"/>
      <c r="C35" s="871"/>
    </row>
    <row r="36" spans="1:3" ht="15.75" thickTop="1"/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2CFF-4DEA-4DB2-9E77-EACB0EA96AF7}">
  <sheetPr>
    <tabColor rgb="FFFF0000"/>
  </sheetPr>
  <dimension ref="B1:O29"/>
  <sheetViews>
    <sheetView showGridLines="0" zoomScale="65" zoomScaleNormal="65" workbookViewId="0">
      <pane ySplit="4" topLeftCell="A5" activePane="bottomLeft" state="frozen"/>
      <selection pane="bottomLeft" activeCell="I34" sqref="I34"/>
    </sheetView>
  </sheetViews>
  <sheetFormatPr defaultColWidth="9.125" defaultRowHeight="15"/>
  <cols>
    <col min="1" max="1" width="9.125" style="85"/>
    <col min="2" max="2" width="11.5" style="310" customWidth="1"/>
    <col min="3" max="3" width="16.5" style="850" customWidth="1"/>
    <col min="4" max="4" width="16.125" style="850" customWidth="1"/>
    <col min="5" max="5" width="15" style="85" customWidth="1"/>
    <col min="6" max="6" width="23.125" style="85" customWidth="1"/>
    <col min="7" max="7" width="14.875" style="85" customWidth="1"/>
    <col min="8" max="8" width="17.875" style="85" customWidth="1"/>
    <col min="9" max="9" width="15.875" style="85" customWidth="1"/>
    <col min="10" max="10" width="16.5" style="85" customWidth="1"/>
    <col min="11" max="11" width="21.5" style="85" customWidth="1"/>
    <col min="12" max="12" width="18.5" style="85" customWidth="1"/>
    <col min="13" max="13" width="15.5" style="850" customWidth="1"/>
    <col min="14" max="14" width="29" style="85" customWidth="1"/>
    <col min="15" max="15" width="24.5" style="85" customWidth="1"/>
    <col min="16" max="16384" width="9.125" style="85"/>
  </cols>
  <sheetData>
    <row r="1" spans="2:15" ht="15.75" thickBot="1"/>
    <row r="2" spans="2:15" ht="48.75" customHeight="1" thickTop="1">
      <c r="B2" s="980" t="s">
        <v>428</v>
      </c>
      <c r="C2" s="980"/>
      <c r="D2" s="980"/>
      <c r="E2" s="980"/>
      <c r="F2" s="980"/>
      <c r="G2" s="980"/>
      <c r="H2" s="980"/>
      <c r="I2" s="980"/>
      <c r="J2" s="980"/>
      <c r="K2" s="980"/>
      <c r="L2" s="980"/>
      <c r="M2" s="980"/>
      <c r="N2" s="980"/>
      <c r="O2" s="980"/>
    </row>
    <row r="3" spans="2:15">
      <c r="B3" s="860"/>
      <c r="C3" s="861"/>
      <c r="D3" s="861"/>
      <c r="E3" s="862"/>
      <c r="F3" s="862"/>
      <c r="G3" s="862"/>
      <c r="H3" s="862"/>
      <c r="I3" s="862"/>
      <c r="J3" s="862"/>
      <c r="K3" s="862"/>
      <c r="L3" s="862"/>
      <c r="M3" s="861"/>
      <c r="N3" s="862"/>
      <c r="O3" s="862"/>
    </row>
    <row r="4" spans="2:15" ht="30">
      <c r="B4" s="854" t="s">
        <v>54</v>
      </c>
      <c r="C4" s="855" t="s">
        <v>429</v>
      </c>
      <c r="D4" s="855" t="s">
        <v>430</v>
      </c>
      <c r="E4" s="856" t="s">
        <v>431</v>
      </c>
      <c r="F4" s="856" t="s">
        <v>432</v>
      </c>
      <c r="G4" s="856" t="s">
        <v>433</v>
      </c>
      <c r="H4" s="856" t="s">
        <v>434</v>
      </c>
      <c r="I4" s="856" t="s">
        <v>59</v>
      </c>
      <c r="J4" s="856" t="s">
        <v>435</v>
      </c>
      <c r="K4" s="856" t="s">
        <v>436</v>
      </c>
      <c r="L4" s="856" t="s">
        <v>437</v>
      </c>
      <c r="M4" s="855" t="s">
        <v>214</v>
      </c>
      <c r="N4" s="856" t="s">
        <v>438</v>
      </c>
      <c r="O4" s="856" t="s">
        <v>439</v>
      </c>
    </row>
    <row r="5" spans="2:15">
      <c r="B5" s="851">
        <v>1</v>
      </c>
      <c r="C5" s="852"/>
      <c r="D5" s="852"/>
      <c r="E5" s="853"/>
      <c r="F5" s="853"/>
      <c r="G5" s="853"/>
      <c r="H5" s="853"/>
      <c r="I5" s="853"/>
      <c r="J5" s="853"/>
      <c r="K5" s="853"/>
      <c r="L5" s="853"/>
      <c r="M5" s="852"/>
      <c r="N5" s="853"/>
      <c r="O5" s="853"/>
    </row>
    <row r="6" spans="2:15">
      <c r="B6" s="851">
        <v>2</v>
      </c>
      <c r="C6" s="852"/>
      <c r="D6" s="852"/>
      <c r="E6" s="853"/>
      <c r="F6" s="853"/>
      <c r="G6" s="853"/>
      <c r="H6" s="853"/>
      <c r="I6" s="853"/>
      <c r="J6" s="853"/>
      <c r="K6" s="853"/>
      <c r="L6" s="853"/>
      <c r="M6" s="852"/>
      <c r="N6" s="853"/>
      <c r="O6" s="853"/>
    </row>
    <row r="7" spans="2:15">
      <c r="B7" s="851">
        <v>3</v>
      </c>
      <c r="C7" s="852"/>
      <c r="D7" s="852"/>
      <c r="E7" s="853"/>
      <c r="F7" s="853"/>
      <c r="G7" s="853"/>
      <c r="H7" s="853"/>
      <c r="I7" s="853"/>
      <c r="J7" s="853"/>
      <c r="K7" s="853"/>
      <c r="L7" s="853"/>
      <c r="M7" s="852"/>
      <c r="N7" s="853"/>
      <c r="O7" s="853"/>
    </row>
    <row r="8" spans="2:15">
      <c r="B8" s="851">
        <v>4</v>
      </c>
      <c r="C8" s="852"/>
      <c r="D8" s="852"/>
      <c r="E8" s="853"/>
      <c r="F8" s="853"/>
      <c r="G8" s="853"/>
      <c r="H8" s="853"/>
      <c r="I8" s="853"/>
      <c r="J8" s="853"/>
      <c r="K8" s="853"/>
      <c r="L8" s="853"/>
      <c r="M8" s="852"/>
      <c r="N8" s="853"/>
      <c r="O8" s="853"/>
    </row>
    <row r="9" spans="2:15">
      <c r="B9" s="851">
        <v>5</v>
      </c>
      <c r="C9" s="852"/>
      <c r="D9" s="852"/>
      <c r="E9" s="853"/>
      <c r="F9" s="853"/>
      <c r="G9" s="853"/>
      <c r="H9" s="853"/>
      <c r="I9" s="853"/>
      <c r="J9" s="853"/>
      <c r="K9" s="853"/>
      <c r="L9" s="853"/>
      <c r="M9" s="852"/>
      <c r="N9" s="853"/>
      <c r="O9" s="853"/>
    </row>
    <row r="10" spans="2:15">
      <c r="B10" s="851">
        <v>6</v>
      </c>
      <c r="C10" s="852"/>
      <c r="D10" s="852"/>
      <c r="E10" s="853"/>
      <c r="F10" s="853"/>
      <c r="G10" s="853"/>
      <c r="H10" s="853"/>
      <c r="I10" s="853"/>
      <c r="J10" s="853"/>
      <c r="K10" s="853"/>
      <c r="L10" s="853"/>
      <c r="M10" s="852"/>
      <c r="N10" s="853"/>
      <c r="O10" s="853"/>
    </row>
    <row r="11" spans="2:15">
      <c r="B11" s="851">
        <v>7</v>
      </c>
      <c r="C11" s="852"/>
      <c r="D11" s="852"/>
      <c r="E11" s="853"/>
      <c r="F11" s="853"/>
      <c r="G11" s="853"/>
      <c r="H11" s="853"/>
      <c r="I11" s="853"/>
      <c r="J11" s="853"/>
      <c r="K11" s="853"/>
      <c r="L11" s="853"/>
      <c r="M11" s="852"/>
      <c r="N11" s="853"/>
      <c r="O11" s="853"/>
    </row>
    <row r="12" spans="2:15">
      <c r="B12" s="851">
        <v>8</v>
      </c>
      <c r="C12" s="852"/>
      <c r="D12" s="852"/>
      <c r="E12" s="853"/>
      <c r="F12" s="853"/>
      <c r="G12" s="853"/>
      <c r="H12" s="853"/>
      <c r="I12" s="853"/>
      <c r="J12" s="853"/>
      <c r="K12" s="853"/>
      <c r="L12" s="853"/>
      <c r="M12" s="852"/>
      <c r="N12" s="853"/>
      <c r="O12" s="853"/>
    </row>
    <row r="13" spans="2:15">
      <c r="B13" s="851">
        <v>9</v>
      </c>
      <c r="C13" s="852"/>
      <c r="D13" s="852"/>
      <c r="E13" s="853"/>
      <c r="F13" s="853"/>
      <c r="G13" s="853"/>
      <c r="H13" s="853"/>
      <c r="I13" s="853"/>
      <c r="J13" s="853"/>
      <c r="K13" s="853"/>
      <c r="L13" s="853"/>
      <c r="M13" s="852"/>
      <c r="N13" s="853"/>
      <c r="O13" s="853"/>
    </row>
    <row r="14" spans="2:15">
      <c r="B14" s="851">
        <v>10</v>
      </c>
      <c r="C14" s="852"/>
      <c r="D14" s="852"/>
      <c r="E14" s="853"/>
      <c r="F14" s="853"/>
      <c r="G14" s="853"/>
      <c r="H14" s="853"/>
      <c r="I14" s="853"/>
      <c r="J14" s="853"/>
      <c r="K14" s="853"/>
      <c r="L14" s="853"/>
      <c r="M14" s="852"/>
      <c r="N14" s="853"/>
      <c r="O14" s="853"/>
    </row>
    <row r="15" spans="2:15">
      <c r="B15" s="851">
        <v>11</v>
      </c>
      <c r="C15" s="852"/>
      <c r="D15" s="852"/>
      <c r="E15" s="853"/>
      <c r="F15" s="853"/>
      <c r="G15" s="853"/>
      <c r="H15" s="853"/>
      <c r="I15" s="853"/>
      <c r="J15" s="853"/>
      <c r="K15" s="853"/>
      <c r="L15" s="853"/>
      <c r="M15" s="852"/>
      <c r="N15" s="853"/>
      <c r="O15" s="853"/>
    </row>
    <row r="16" spans="2:15">
      <c r="B16" s="851">
        <v>12</v>
      </c>
      <c r="C16" s="852"/>
      <c r="D16" s="852"/>
      <c r="E16" s="853"/>
      <c r="F16" s="853"/>
      <c r="G16" s="853"/>
      <c r="H16" s="853"/>
      <c r="I16" s="853"/>
      <c r="J16" s="853"/>
      <c r="K16" s="853"/>
      <c r="L16" s="853"/>
      <c r="M16" s="852"/>
      <c r="N16" s="853"/>
      <c r="O16" s="853"/>
    </row>
    <row r="17" spans="2:15">
      <c r="B17" s="851">
        <v>13</v>
      </c>
      <c r="C17" s="852"/>
      <c r="D17" s="852"/>
      <c r="E17" s="853"/>
      <c r="F17" s="853"/>
      <c r="G17" s="853"/>
      <c r="H17" s="853"/>
      <c r="I17" s="853"/>
      <c r="J17" s="853"/>
      <c r="K17" s="853"/>
      <c r="L17" s="853"/>
      <c r="M17" s="852"/>
      <c r="N17" s="853"/>
      <c r="O17" s="853"/>
    </row>
    <row r="18" spans="2:15">
      <c r="B18" s="851">
        <v>14</v>
      </c>
      <c r="C18" s="852"/>
      <c r="D18" s="852"/>
      <c r="E18" s="853"/>
      <c r="F18" s="853"/>
      <c r="G18" s="853"/>
      <c r="H18" s="853"/>
      <c r="I18" s="853"/>
      <c r="J18" s="853"/>
      <c r="K18" s="853"/>
      <c r="L18" s="853"/>
      <c r="M18" s="852"/>
      <c r="N18" s="853"/>
      <c r="O18" s="853"/>
    </row>
    <row r="19" spans="2:15">
      <c r="B19" s="851">
        <v>15</v>
      </c>
      <c r="C19" s="852"/>
      <c r="D19" s="852"/>
      <c r="E19" s="853"/>
      <c r="F19" s="853"/>
      <c r="G19" s="853"/>
      <c r="H19" s="853"/>
      <c r="I19" s="853"/>
      <c r="J19" s="853"/>
      <c r="K19" s="853"/>
      <c r="L19" s="853"/>
      <c r="M19" s="852"/>
      <c r="N19" s="853"/>
      <c r="O19" s="853"/>
    </row>
    <row r="20" spans="2:15">
      <c r="B20" s="851">
        <v>16</v>
      </c>
      <c r="C20" s="852"/>
      <c r="D20" s="852"/>
      <c r="E20" s="853"/>
      <c r="F20" s="853"/>
      <c r="G20" s="853"/>
      <c r="H20" s="853"/>
      <c r="I20" s="853"/>
      <c r="J20" s="853"/>
      <c r="K20" s="853"/>
      <c r="L20" s="853"/>
      <c r="M20" s="852"/>
      <c r="N20" s="853"/>
      <c r="O20" s="853"/>
    </row>
    <row r="21" spans="2:15">
      <c r="B21" s="851">
        <v>17</v>
      </c>
      <c r="C21" s="852"/>
      <c r="D21" s="852"/>
      <c r="E21" s="853"/>
      <c r="F21" s="853"/>
      <c r="G21" s="853"/>
      <c r="H21" s="853"/>
      <c r="I21" s="853"/>
      <c r="J21" s="853"/>
      <c r="K21" s="853"/>
      <c r="L21" s="853"/>
      <c r="M21" s="852"/>
      <c r="N21" s="853"/>
      <c r="O21" s="853"/>
    </row>
    <row r="22" spans="2:15">
      <c r="B22" s="851">
        <v>18</v>
      </c>
      <c r="C22" s="852"/>
      <c r="D22" s="852"/>
      <c r="E22" s="853"/>
      <c r="F22" s="853"/>
      <c r="G22" s="853"/>
      <c r="H22" s="853"/>
      <c r="I22" s="853"/>
      <c r="J22" s="853"/>
      <c r="K22" s="853"/>
      <c r="L22" s="853"/>
      <c r="M22" s="852"/>
      <c r="N22" s="853"/>
      <c r="O22" s="853"/>
    </row>
    <row r="23" spans="2:15">
      <c r="B23" s="851">
        <v>19</v>
      </c>
      <c r="C23" s="852"/>
      <c r="D23" s="852"/>
      <c r="E23" s="853"/>
      <c r="F23" s="853"/>
      <c r="G23" s="853"/>
      <c r="H23" s="853"/>
      <c r="I23" s="853"/>
      <c r="J23" s="853"/>
      <c r="K23" s="853"/>
      <c r="L23" s="853"/>
      <c r="M23" s="852"/>
      <c r="N23" s="853"/>
      <c r="O23" s="853"/>
    </row>
    <row r="24" spans="2:15">
      <c r="B24" s="851">
        <v>20</v>
      </c>
      <c r="C24" s="852"/>
      <c r="D24" s="852"/>
      <c r="E24" s="853"/>
      <c r="F24" s="853"/>
      <c r="G24" s="853"/>
      <c r="H24" s="853"/>
      <c r="I24" s="853"/>
      <c r="J24" s="853"/>
      <c r="K24" s="853"/>
      <c r="L24" s="853"/>
      <c r="M24" s="852"/>
      <c r="N24" s="853"/>
      <c r="O24" s="853"/>
    </row>
    <row r="25" spans="2:15">
      <c r="B25" s="851">
        <v>21</v>
      </c>
      <c r="C25" s="852"/>
      <c r="D25" s="852"/>
      <c r="E25" s="853"/>
      <c r="F25" s="853"/>
      <c r="G25" s="853"/>
      <c r="H25" s="853"/>
      <c r="I25" s="853"/>
      <c r="J25" s="853"/>
      <c r="K25" s="853"/>
      <c r="L25" s="853"/>
      <c r="M25" s="852"/>
      <c r="N25" s="853"/>
      <c r="O25" s="853"/>
    </row>
    <row r="26" spans="2:15">
      <c r="B26" s="851">
        <v>22</v>
      </c>
      <c r="C26" s="852"/>
      <c r="D26" s="852"/>
      <c r="E26" s="853"/>
      <c r="F26" s="853"/>
      <c r="G26" s="853"/>
      <c r="H26" s="853"/>
      <c r="I26" s="853"/>
      <c r="J26" s="853"/>
      <c r="K26" s="853"/>
      <c r="L26" s="853"/>
      <c r="M26" s="852"/>
      <c r="N26" s="853"/>
      <c r="O26" s="853"/>
    </row>
    <row r="27" spans="2:15">
      <c r="B27" s="851">
        <v>23</v>
      </c>
      <c r="C27" s="852"/>
      <c r="D27" s="852"/>
      <c r="E27" s="853"/>
      <c r="F27" s="853"/>
      <c r="G27" s="853"/>
      <c r="H27" s="853"/>
      <c r="I27" s="853"/>
      <c r="J27" s="853"/>
      <c r="K27" s="853"/>
      <c r="L27" s="853"/>
      <c r="M27" s="852"/>
      <c r="N27" s="853"/>
      <c r="O27" s="853"/>
    </row>
    <row r="28" spans="2:15" ht="15.75" thickBot="1">
      <c r="B28" s="857">
        <v>24</v>
      </c>
      <c r="C28" s="858"/>
      <c r="D28" s="858"/>
      <c r="E28" s="859"/>
      <c r="F28" s="859"/>
      <c r="G28" s="859"/>
      <c r="H28" s="859"/>
      <c r="I28" s="859"/>
      <c r="J28" s="859"/>
      <c r="K28" s="859"/>
      <c r="L28" s="859"/>
      <c r="M28" s="858"/>
      <c r="N28" s="859"/>
      <c r="O28" s="859"/>
    </row>
    <row r="29" spans="2:15" ht="15.75" thickTop="1"/>
  </sheetData>
  <autoFilter ref="C4:N4" xr:uid="{34CC2CFF-4DEA-4DB2-9E77-EACB0EA96AF7}"/>
  <mergeCells count="1">
    <mergeCell ref="B2:O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8039BEA6A3F8488DEEDC0DED5BC3C7" ma:contentTypeVersion="13" ma:contentTypeDescription="Crie um novo documento." ma:contentTypeScope="" ma:versionID="8eccbff6d1f40f007fb30acbdf4767a5">
  <xsd:schema xmlns:xsd="http://www.w3.org/2001/XMLSchema" xmlns:xs="http://www.w3.org/2001/XMLSchema" xmlns:p="http://schemas.microsoft.com/office/2006/metadata/properties" xmlns:ns2="b693e3fe-e7fd-403f-972c-b4480cbc30e6" xmlns:ns3="2cc41756-d8b7-44b0-b9e7-984b1fdcee50" targetNamespace="http://schemas.microsoft.com/office/2006/metadata/properties" ma:root="true" ma:fieldsID="80c7d39a2625fdf00996207e803e1d9c" ns2:_="" ns3:_="">
    <xsd:import namespace="b693e3fe-e7fd-403f-972c-b4480cbc30e6"/>
    <xsd:import namespace="2cc41756-d8b7-44b0-b9e7-984b1fdcee50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m85d8a6fdb684f1bb39c391ec8a5dda2" minOccurs="0"/>
                <xsd:element ref="ns2:n3b7cdc4b86546858f2634baecd8f739" minOccurs="0"/>
                <xsd:element ref="ns2:g877ac27b5a043bfabb40c206d1d5836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3e3fe-e7fd-403f-972c-b4480cbc30e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6bbaf62a-80ac-40bd-91c9-9a8ef390b486}" ma:internalName="TaxCatchAll" ma:readOnly="false" ma:showField="CatchAllData" ma:web="b693e3fe-e7fd-403f-972c-b4480cbc30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6bbaf62a-80ac-40bd-91c9-9a8ef390b486}" ma:internalName="TaxCatchAllLabel" ma:readOnly="true" ma:showField="CatchAllDataLabel" ma:web="b693e3fe-e7fd-403f-972c-b4480cbc30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85d8a6fdb684f1bb39c391ec8a5dda2" ma:index="10" nillable="true" ma:taxonomy="true" ma:internalName="m85d8a6fdb684f1bb39c391ec8a5dda2" ma:taxonomyFieldName="emm_Function" ma:displayName="emm_Function" ma:readOnly="false" ma:fieldId="{685d8a6f-db68-4f1b-b39c-391ec8a5dda2}" ma:sspId="dbd781fe-6aa5-472d-a1f8-c77b383d4a7b" ma:termSetId="2cdd7b0f-fc41-4bc0-b507-1083be529d1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3b7cdc4b86546858f2634baecd8f739" ma:index="12" nillable="true" ma:taxonomy="true" ma:internalName="n3b7cdc4b86546858f2634baecd8f739" ma:taxonomyFieldName="emm_Language" ma:displayName="emm_Language" ma:readOnly="false" ma:fieldId="{73b7cdc4-b865-4685-8f26-34baecd8f739}" ma:sspId="dbd781fe-6aa5-472d-a1f8-c77b383d4a7b" ma:termSetId="628d4a0e-43e1-471b-bfbd-4dccf339dc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877ac27b5a043bfabb40c206d1d5836" ma:index="14" nillable="true" ma:taxonomy="true" ma:internalName="g877ac27b5a043bfabb40c206d1d5836" ma:taxonomyFieldName="emm_Division" ma:displayName="emm_Division" ma:readOnly="false" ma:fieldId="{0877ac27-b5a0-43bf-abb4-0c206d1d5836}" ma:sspId="dbd781fe-6aa5-472d-a1f8-c77b383d4a7b" ma:termSetId="5dde4a48-55d5-4c0a-9779-582059f53b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41756-d8b7-44b0-b9e7-984b1fdce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bd781fe-6aa5-472d-a1f8-c77b383d4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Tipo de Conteúdo"/>
        <xsd:element ref="dc:title" minOccurs="0" maxOccurs="1" ma:index="0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3b7cdc4b86546858f2634baecd8f739 xmlns="b693e3fe-e7fd-403f-972c-b4480cbc30e6">
      <Terms xmlns="http://schemas.microsoft.com/office/infopath/2007/PartnerControls"/>
    </n3b7cdc4b86546858f2634baecd8f739>
    <lcf76f155ced4ddcb4097134ff3c332f xmlns="2cc41756-d8b7-44b0-b9e7-984b1fdcee50">
      <Terms xmlns="http://schemas.microsoft.com/office/infopath/2007/PartnerControls"/>
    </lcf76f155ced4ddcb4097134ff3c332f>
    <g877ac27b5a043bfabb40c206d1d5836 xmlns="b693e3fe-e7fd-403f-972c-b4480cbc30e6">
      <Terms xmlns="http://schemas.microsoft.com/office/infopath/2007/PartnerControls"/>
    </g877ac27b5a043bfabb40c206d1d5836>
    <TaxCatchAll xmlns="b693e3fe-e7fd-403f-972c-b4480cbc30e6" xsi:nil="true"/>
    <m85d8a6fdb684f1bb39c391ec8a5dda2 xmlns="b693e3fe-e7fd-403f-972c-b4480cbc30e6">
      <Terms xmlns="http://schemas.microsoft.com/office/infopath/2007/PartnerControls"/>
    </m85d8a6fdb684f1bb39c391ec8a5dda2>
  </documentManagement>
</p:properties>
</file>

<file path=customXml/itemProps1.xml><?xml version="1.0" encoding="utf-8"?>
<ds:datastoreItem xmlns:ds="http://schemas.openxmlformats.org/officeDocument/2006/customXml" ds:itemID="{F73D7B0E-0A84-4464-B962-4602E685E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93e3fe-e7fd-403f-972c-b4480cbc30e6"/>
    <ds:schemaRef ds:uri="2cc41756-d8b7-44b0-b9e7-984b1fdce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5C31FC-6D99-4724-A54C-575446E59F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583F4-7B37-4445-BF0B-11E02B55080C}">
  <ds:schemaRefs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2cc41756-d8b7-44b0-b9e7-984b1fdcee50"/>
    <ds:schemaRef ds:uri="http://schemas.openxmlformats.org/package/2006/metadata/core-properties"/>
    <ds:schemaRef ds:uri="b693e3fe-e7fd-403f-972c-b4480cbc30e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GERENCIAL</vt:lpstr>
      <vt:lpstr>MÃO OBRA DIÁRIA</vt:lpstr>
      <vt:lpstr>MO - 02-07</vt:lpstr>
      <vt:lpstr>OPERAÇÃO</vt:lpstr>
      <vt:lpstr>Planilha1</vt:lpstr>
      <vt:lpstr>EMBALAGEM</vt:lpstr>
      <vt:lpstr>OPERAÇÃO ANTIGA</vt:lpstr>
      <vt:lpstr>Operacional (Não USar Ainda)</vt:lpstr>
      <vt:lpstr>PRODUÇÃO</vt:lpstr>
      <vt:lpstr>PRODUÇÃO NOVO</vt:lpstr>
      <vt:lpstr>OPERAÇÃO-SEPARAÇÃO</vt:lpstr>
      <vt:lpstr>MO ÁREA</vt:lpstr>
      <vt:lpstr>OBSERVAÇÕES DIÁRIAS</vt:lpstr>
      <vt:lpstr>NFS PARA PAGAMENTO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Sunhiga, Ricardo F (Piracicaba)</dc:creator>
  <cp:keywords/>
  <dc:description/>
  <cp:lastModifiedBy>Martins, Jefferson M (Piracicaba)</cp:lastModifiedBy>
  <cp:revision/>
  <dcterms:created xsi:type="dcterms:W3CDTF">2026-01-23T11:05:22Z</dcterms:created>
  <dcterms:modified xsi:type="dcterms:W3CDTF">2026-10-14T13:39:36Z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0x010100398039BEA6A3F8488DEEDC0DED5BC3C7</vt:lpwstr>
  </property>
  <property fmtid="{D5CDD505-2E9C-101B-9397-08002B2CF9AE}" pid="3" name="emm_Division">
    <vt:lpwstr/>
  </property>
  <property fmtid="{D5CDD505-2E9C-101B-9397-08002B2CF9AE}" pid="4" name="MediaServiceImageTags">
    <vt:lpwstr/>
  </property>
  <property fmtid="{D5CDD505-2E9C-101B-9397-08002B2CF9AE}" pid="5" name="emm_Language">
    <vt:lpwstr/>
  </property>
  <property fmtid="{D5CDD505-2E9C-101B-9397-08002B2CF9AE}" pid="6" name="emm_Function">
    <vt:lpwstr/>
  </property>
</Properties>
</file>